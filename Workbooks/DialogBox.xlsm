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rgetti\Dropbox\NET_Projects\DialogBox\Workbooks\"/>
    </mc:Choice>
  </mc:AlternateContent>
  <xr:revisionPtr revIDLastSave="0" documentId="13_ncr:1_{3986060E-2859-48C0-9FA1-D93883588335}" xr6:coauthVersionLast="47" xr6:coauthVersionMax="47" xr10:uidLastSave="{00000000-0000-0000-0000-000000000000}"/>
  <bookViews>
    <workbookView xWindow="-120" yWindow="-120" windowWidth="38640" windowHeight="21120" activeTab="1" xr2:uid="{539ECEBE-09E7-4F9F-B24C-265CB2665702}"/>
  </bookViews>
  <sheets>
    <sheet name="Workbench" sheetId="2" r:id="rId1"/>
    <sheet name="CodeFactory" sheetId="3" r:id="rId2"/>
  </sheets>
  <functionGroups builtInGroupCount="19"/>
  <definedNames>
    <definedName name="_xlnm._FilterDatabase" localSheetId="0" hidden="1">Workbench!$AL$2:$AR$7</definedName>
    <definedName name="DialogCode">CodeFactory!$Y$1</definedName>
    <definedName name="DialogRefs" localSheetId="1">CodeFactory!$B$35:$D$43</definedName>
    <definedName name="DialogRefs" localSheetId="0">Workbench!$B$35:$D$43</definedName>
    <definedName name="DialogTable" localSheetId="1">CodeFactory!$Q$1</definedName>
    <definedName name="DialogTable" localSheetId="0">Workbench!$AA$1</definedName>
    <definedName name="GENERIC_List1" localSheetId="0">Workbench!$O$14:$O$18</definedName>
    <definedName name="HideCols" localSheetId="0">Workbench!$R$2</definedName>
    <definedName name="Main" localSheetId="1">CodeFactory!$D$4</definedName>
    <definedName name="Main" localSheetId="0">Workbench!$T$2</definedName>
    <definedName name="Main.DlgRef" localSheetId="1">CodeFactory!$D$6</definedName>
    <definedName name="Main.DlgRef" localSheetId="0">Workbench!$T$4</definedName>
    <definedName name="Main.DlgRows" localSheetId="1">CodeFactory!$D$9</definedName>
    <definedName name="Main.DlgRows" localSheetId="0">Workbench!$T$6</definedName>
    <definedName name="Main.End">CodeFactory!$D$22</definedName>
    <definedName name="MainCode">CodeFactory!$D$21</definedName>
    <definedName name="MainDlg" localSheetId="1">CodeFactory!$D$15</definedName>
    <definedName name="MainDlg" localSheetId="0">Workbench!$T$12</definedName>
    <definedName name="ShowCols" localSheetId="0">Workbench!$R$5</definedName>
    <definedName name="WipeDialog" localSheetId="0" xlm="1" shortcutKey="T">Workbench!$R$8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Federico Targetti</author>
  </authors>
  <commentList>
    <comment ref="R8" authorId="0" shapeId="0" xr:uid="{7EE86DC8-104F-4B11-A93A-04EC66452BB5}">
      <text>
        <r>
          <rPr>
            <b/>
            <sz val="9"/>
            <color indexed="81"/>
            <rFont val="Tahoma"/>
            <family val="2"/>
          </rPr>
          <t>WipeDialog:</t>
        </r>
        <r>
          <rPr>
            <sz val="9"/>
            <color indexed="81"/>
            <rFont val="Tahoma"/>
            <family val="2"/>
          </rPr>
          <t xml:space="preserve">
CTRL+SHIFT+T</t>
        </r>
      </text>
    </comment>
    <comment ref="D9" authorId="0" shapeId="0" xr:uid="{0A616C01-AD81-44F4-A89C-EE58350BFD06}">
      <text>
        <r>
          <rPr>
            <b/>
            <sz val="9"/>
            <color indexed="81"/>
            <rFont val="Tahoma"/>
            <family val="2"/>
          </rPr>
          <t>Integer edit box:</t>
        </r>
        <r>
          <rPr>
            <sz val="9"/>
            <color indexed="81"/>
            <rFont val="Tahoma"/>
            <family val="2"/>
          </rPr>
          <t xml:space="preserve">
Min: -32766
Max: 32767
-32767 is valid, but returns empty</t>
        </r>
      </text>
    </comment>
    <comment ref="D11" authorId="0" shapeId="0" xr:uid="{62603FB7-5738-4C88-A1AF-1A1511B9CC52}">
      <text>
        <r>
          <rPr>
            <b/>
            <sz val="9"/>
            <color indexed="81"/>
            <rFont val="Tahoma"/>
            <family val="2"/>
          </rPr>
          <t>Formula edit box:</t>
        </r>
        <r>
          <rPr>
            <sz val="9"/>
            <color indexed="81"/>
            <rFont val="Tahoma"/>
            <family val="2"/>
          </rPr>
          <t xml:space="preserve">
Value must begin with '=', otherwise is interpreted as string and ret-value is '="…"
References are R1C1, relative to the active cell.
Formulas are sintactically validated.</t>
        </r>
      </text>
    </comment>
    <comment ref="D13" authorId="0" shapeId="0" xr:uid="{AF037CE1-5551-47C5-9A10-AE4A4766AC02}">
      <text>
        <r>
          <rPr>
            <b/>
            <sz val="9"/>
            <color indexed="81"/>
            <rFont val="Tahoma"/>
            <family val="2"/>
          </rPr>
          <t>Option button group:</t>
        </r>
        <r>
          <rPr>
            <sz val="9"/>
            <color indexed="81"/>
            <rFont val="Tahoma"/>
            <family val="2"/>
          </rPr>
          <t xml:space="preserve">
Triggers / dims / focus entire group.
Dimmed focus bug: see example.
Initial value: [1,Max], empty =&gt; 1 or #N/A (none selected).</t>
        </r>
      </text>
    </comment>
    <comment ref="D14" authorId="0" shapeId="0" xr:uid="{54D86F90-74FD-4B8C-BE67-5D415878BDAA}">
      <text>
        <r>
          <rPr>
            <b/>
            <sz val="9"/>
            <color indexed="81"/>
            <rFont val="Tahoma"/>
            <family val="2"/>
          </rPr>
          <t>Option button:</t>
        </r>
        <r>
          <rPr>
            <sz val="9"/>
            <color indexed="81"/>
            <rFont val="Tahoma"/>
            <family val="2"/>
          </rPr>
          <t xml:space="preserve">
Valid only after 'Option button group'.
Indidually triggerable and dimmable.
Not focusable individually (focus the selected option).</t>
        </r>
      </text>
    </comment>
    <comment ref="D15" authorId="0" shapeId="0" xr:uid="{8CFC4654-D113-4E74-B06E-8CFDDB1ABB63}">
      <text>
        <r>
          <rPr>
            <b/>
            <sz val="9"/>
            <color indexed="81"/>
            <rFont val="Tahoma"/>
            <family val="2"/>
          </rPr>
          <t>Check box:</t>
        </r>
        <r>
          <rPr>
            <sz val="9"/>
            <color indexed="81"/>
            <rFont val="Tahoma"/>
            <family val="2"/>
          </rPr>
          <t xml:space="preserve">
Initial values: [&gt;0,TRUE] [empty,0,FALSE] or #N/A (tristate).</t>
        </r>
      </text>
    </comment>
    <comment ref="D17" authorId="0" shapeId="0" xr:uid="{55DD4BBB-625F-4D23-830F-F59A4DB88B51}">
      <text>
        <r>
          <rPr>
            <b/>
            <sz val="9"/>
            <color indexed="81"/>
            <rFont val="Tahoma"/>
            <family val="2"/>
          </rPr>
          <t>List box:</t>
        </r>
        <r>
          <rPr>
            <sz val="9"/>
            <color indexed="81"/>
            <rFont val="Tahoma"/>
            <family val="2"/>
          </rPr>
          <t xml:space="preserve">
Initial positive values outside [1,Max] or #N/A  --&gt; no item selected (converted on return).
Empty --&gt; 1 (converted on return).
Text can be anything that returns an array: R1C1 reference, a name,  {…} or a formula.
No text --&gt; empty list.</t>
        </r>
      </text>
    </comment>
    <comment ref="D18" authorId="0" shapeId="0" xr:uid="{312CA4EF-9F26-4185-9248-8767DA4180CD}">
      <text>
        <r>
          <rPr>
            <b/>
            <sz val="9"/>
            <color indexed="81"/>
            <rFont val="Tahoma"/>
            <family val="2"/>
          </rPr>
          <t>Linked List box:</t>
        </r>
        <r>
          <rPr>
            <sz val="9"/>
            <color indexed="81"/>
            <rFont val="Tahoma"/>
            <family val="2"/>
          </rPr>
          <t xml:space="preserve">
Valid only after (any)EditBox. The value will be validated by the edit box.
Not individually dimmable (only entire linked group).
Edited / initial values not in list &lt;--&gt; index:=#N/A.
Initial index outside [1,Max] equivalent to #N/A.</t>
        </r>
      </text>
    </comment>
    <comment ref="D19" authorId="0" shapeId="0" xr:uid="{20A78047-1F66-416A-89B5-7D1F9E794C7E}">
      <text>
        <r>
          <rPr>
            <b/>
            <sz val="9"/>
            <color indexed="81"/>
            <rFont val="Tahoma"/>
            <family val="2"/>
          </rPr>
          <t>Icons:</t>
        </r>
        <r>
          <rPr>
            <sz val="9"/>
            <color indexed="81"/>
            <rFont val="Tahoma"/>
            <family val="2"/>
          </rPr>
          <t xml:space="preserve">
Not dimmable.</t>
        </r>
      </text>
    </comment>
    <comment ref="D20" authorId="0" shapeId="0" xr:uid="{D2052F8A-59B3-4B03-A189-990C062A4588}">
      <text>
        <r>
          <rPr>
            <b/>
            <sz val="9"/>
            <color indexed="81"/>
            <rFont val="Tahoma"/>
            <family val="2"/>
          </rPr>
          <t>File list box:</t>
        </r>
        <r>
          <rPr>
            <sz val="9"/>
            <color indexed="81"/>
            <rFont val="Tahoma"/>
            <family val="2"/>
          </rPr>
          <t xml:space="preserve">
Valid only after TextEditBox.
Can be followed by DriveDirBox.
Not individually dimmable (only entire linked group).</t>
        </r>
      </text>
    </comment>
    <comment ref="D21" authorId="0" shapeId="0" xr:uid="{E201A63A-2358-4C75-9AE0-4A5ABCE68A30}">
      <text>
        <r>
          <rPr>
            <b/>
            <sz val="9"/>
            <color indexed="81"/>
            <rFont val="Tahoma"/>
            <family val="2"/>
          </rPr>
          <t>Drive Dir Box:</t>
        </r>
        <r>
          <rPr>
            <sz val="9"/>
            <color indexed="81"/>
            <rFont val="Tahoma"/>
            <family val="2"/>
          </rPr>
          <t xml:space="preserve">
If alonealid only after FileListBox.
If triggerable, double click change dir before trigger.
Not individually dimmable (only entire linked group).</t>
        </r>
      </text>
    </comment>
    <comment ref="D23" authorId="0" shapeId="0" xr:uid="{75630678-3B6B-43E0-8505-E5E9AB70F08D}">
      <text>
        <r>
          <rPr>
            <b/>
            <sz val="9"/>
            <color indexed="81"/>
            <rFont val="Tahoma"/>
            <family val="2"/>
          </rPr>
          <t>DropDown box:</t>
        </r>
        <r>
          <rPr>
            <sz val="9"/>
            <color indexed="81"/>
            <rFont val="Tahoma"/>
            <family val="2"/>
          </rPr>
          <t xml:space="preserve">
Values must be [1,Max]
Empty initial value is equivalent to 1.
#N/A initial value --&gt; no item selected.
Height refers to the dropdown list, not to selector.</t>
        </r>
      </text>
    </comment>
    <comment ref="D24" authorId="0" shapeId="0" xr:uid="{5EB0961F-2089-46A1-A8D7-2C3EF1DF1807}">
      <text>
        <r>
          <rPr>
            <b/>
            <sz val="9"/>
            <color indexed="81"/>
            <rFont val="Tahoma"/>
            <family val="2"/>
          </rPr>
          <t>Linked List box:</t>
        </r>
        <r>
          <rPr>
            <sz val="9"/>
            <color indexed="81"/>
            <rFont val="Tahoma"/>
            <family val="2"/>
          </rPr>
          <t xml:space="preserve">
Valid only after (any)EditBox. The value will be validated by the edit box.
Not individually dimmable (only entire linked group).
Not individually focusable (only entire linked group).
Edited / initial values not in list &lt;--&gt; index:=#N/A.
Initial index outside [1,Max] equivalent to #N/A.</t>
        </r>
      </text>
    </comment>
  </commentList>
</comments>
</file>

<file path=xl/sharedStrings.xml><?xml version="1.0" encoding="utf-8"?>
<sst xmlns="http://schemas.openxmlformats.org/spreadsheetml/2006/main" count="323" uniqueCount="126">
  <si>
    <t>Type</t>
  </si>
  <si>
    <t>ItemNum</t>
  </si>
  <si>
    <t>ItemType</t>
  </si>
  <si>
    <t>Default OK button</t>
  </si>
  <si>
    <t>Cancel button</t>
  </si>
  <si>
    <t>OK button</t>
  </si>
  <si>
    <t>Default Cancel button</t>
  </si>
  <si>
    <t>Static text</t>
  </si>
  <si>
    <t>Text edit box</t>
  </si>
  <si>
    <t>Integer edit box</t>
  </si>
  <si>
    <t>Number edit box</t>
  </si>
  <si>
    <t>Formula edit box</t>
  </si>
  <si>
    <t>Reference edit box</t>
  </si>
  <si>
    <t>Option button group</t>
  </si>
  <si>
    <t>Option button</t>
  </si>
  <si>
    <t>Check box</t>
  </si>
  <si>
    <t>Group box</t>
  </si>
  <si>
    <t>List box</t>
  </si>
  <si>
    <t>Linked list box</t>
  </si>
  <si>
    <t>Icons</t>
  </si>
  <si>
    <t>Directory text box</t>
  </si>
  <si>
    <t>Drop-down list box</t>
  </si>
  <si>
    <t>Drop-down combination edit/list box</t>
  </si>
  <si>
    <t>Picture button</t>
  </si>
  <si>
    <t>Help button</t>
  </si>
  <si>
    <t>Linked file list box</t>
  </si>
  <si>
    <t>Linked drive and directory box</t>
  </si>
  <si>
    <t>HPos</t>
  </si>
  <si>
    <t>VPos</t>
  </si>
  <si>
    <t>Width</t>
  </si>
  <si>
    <t xml:space="preserve">Height </t>
  </si>
  <si>
    <t>Text</t>
  </si>
  <si>
    <t xml:space="preserve">Value / Result </t>
  </si>
  <si>
    <t>#</t>
  </si>
  <si>
    <t>Dialog</t>
  </si>
  <si>
    <t>Generic Sample Dialog</t>
  </si>
  <si>
    <t>OK</t>
  </si>
  <si>
    <t>Cancel</t>
  </si>
  <si>
    <t>&amp;Name:</t>
  </si>
  <si>
    <t>&amp;College</t>
  </si>
  <si>
    <t>&amp;Harvard</t>
  </si>
  <si>
    <t>&amp;Other</t>
  </si>
  <si>
    <t>&amp;Reference:</t>
  </si>
  <si>
    <t>&amp;Qualifications</t>
  </si>
  <si>
    <t>&amp;BA / BS</t>
  </si>
  <si>
    <t>&amp;MA / MS</t>
  </si>
  <si>
    <t>&amp;PhD / Other Grad</t>
  </si>
  <si>
    <t>GENERIC_List1</t>
  </si>
  <si>
    <t>Bake</t>
  </si>
  <si>
    <t>Broil</t>
  </si>
  <si>
    <t>Sizzle</t>
  </si>
  <si>
    <t>Fry</t>
  </si>
  <si>
    <t>Saute</t>
  </si>
  <si>
    <t>Ref</t>
  </si>
  <si>
    <t>GENERIC.C Example</t>
  </si>
  <si>
    <t>x</t>
  </si>
  <si>
    <t>Buttons Example</t>
  </si>
  <si>
    <t>Buttons</t>
  </si>
  <si>
    <t>This is static text, a.k.a. a label</t>
  </si>
  <si>
    <t>*********</t>
  </si>
  <si>
    <t>Edit</t>
  </si>
  <si>
    <t>Gino</t>
  </si>
  <si>
    <t>=R1C1</t>
  </si>
  <si>
    <t>R2C2:R4C4</t>
  </si>
  <si>
    <t>Edit Example</t>
  </si>
  <si>
    <t>R14C15:R18C15</t>
  </si>
  <si>
    <t>Linked list box:</t>
  </si>
  <si>
    <t>Drop-down edit/list box:</t>
  </si>
  <si>
    <t>Gnocco</t>
  </si>
  <si>
    <t>Fritto</t>
  </si>
  <si>
    <t>Linked Example</t>
  </si>
  <si>
    <t>Linked</t>
  </si>
  <si>
    <t>Pino</t>
  </si>
  <si>
    <t>Lino</t>
  </si>
  <si>
    <t>CheckBox Example</t>
  </si>
  <si>
    <t>Drive / Dir / File Example</t>
  </si>
  <si>
    <t>Dir / File</t>
  </si>
  <si>
    <t>Options Example</t>
  </si>
  <si>
    <t>Options</t>
  </si>
  <si>
    <t>Variables</t>
  </si>
  <si>
    <t>Value</t>
  </si>
  <si>
    <t>Focus</t>
  </si>
  <si>
    <t>Trigger</t>
  </si>
  <si>
    <t>Dim</t>
  </si>
  <si>
    <t>Item</t>
  </si>
  <si>
    <t>t | d | t</t>
  </si>
  <si>
    <t xml:space="preserve"> | | t</t>
  </si>
  <si>
    <t xml:space="preserve"> | d |</t>
  </si>
  <si>
    <t xml:space="preserve"> | | </t>
  </si>
  <si>
    <t>t | df | t</t>
  </si>
  <si>
    <t>v | df | v</t>
  </si>
  <si>
    <t>t | dft | tv</t>
  </si>
  <si>
    <t>t | dft | t</t>
  </si>
  <si>
    <t>tv | dft | tv</t>
  </si>
  <si>
    <t xml:space="preserve"> | dft | tv</t>
  </si>
  <si>
    <t xml:space="preserve"> | dft |</t>
  </si>
  <si>
    <t>&amp;OK</t>
  </si>
  <si>
    <t>Library compile date</t>
  </si>
  <si>
    <t>Version</t>
  </si>
  <si>
    <t>About</t>
  </si>
  <si>
    <t>Library version</t>
  </si>
  <si>
    <t>File Finder</t>
  </si>
  <si>
    <t>Version Info</t>
  </si>
  <si>
    <t>This library uses the following NuGet packages</t>
  </si>
  <si>
    <t>&amp;Cancel</t>
  </si>
  <si>
    <t>File selector. Use *.* to search for all files in a folder.</t>
  </si>
  <si>
    <t>⭮</t>
  </si>
  <si>
    <t>Current directory at launch of dialog. Use ⭮ button to refresh.</t>
  </si>
  <si>
    <t>Nobody   |   Copyright © …</t>
  </si>
  <si>
    <t>About MyLib</t>
  </si>
  <si>
    <t>Nonsense function library</t>
  </si>
  <si>
    <t>WinFax Print Setup</t>
  </si>
  <si>
    <t>WINFAX on FAXMODEM</t>
  </si>
  <si>
    <t>HP LaserJet IIISi PCL on \\oplcsrv3\hpiii</t>
  </si>
  <si>
    <t>Select WinFax &amp;Port Assignment</t>
  </si>
  <si>
    <t>Current &amp;Default Print Device</t>
  </si>
  <si>
    <t>&amp;Show Toolbar Item</t>
  </si>
  <si>
    <t>Delrina Corporation</t>
  </si>
  <si>
    <t>Print to WinFax macro for Excel 4.0</t>
  </si>
  <si>
    <t>Macro Version 3.2</t>
  </si>
  <si>
    <t>WINFAX on COM1:</t>
  </si>
  <si>
    <t>WINFAX on COM2:</t>
  </si>
  <si>
    <t>WINFAX on COM3:</t>
  </si>
  <si>
    <t>WINFAX on COM4:</t>
  </si>
  <si>
    <t>WINFAX on CAS</t>
  </si>
  <si>
    <t>WinFax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</si>
</sst>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\ yyyy"/>
  </numFmts>
  <fonts count="7" x14ac:knownFonts="1">
    <font>
      <sz val="8"/>
      <color theme="1"/>
      <name val="Arial"/>
      <family val="2"/>
    </font>
    <font>
      <b/>
      <sz val="8"/>
      <color theme="1"/>
      <name val="Arial"/>
      <family val="2"/>
    </font>
    <font>
      <i/>
      <sz val="8"/>
      <color theme="1"/>
      <name val="Arial"/>
      <family val="2"/>
    </font>
    <font>
      <sz val="8"/>
      <color rgb="FF000000"/>
      <name val="Arial"/>
      <family val="2"/>
    </font>
    <font>
      <i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2" borderId="0" xfId="0" applyFill="1"/>
    <xf numFmtId="0" fontId="4" fillId="3" borderId="0" xfId="0" applyFont="1" applyFill="1" applyAlignment="1">
      <alignment horizontal="center"/>
    </xf>
    <xf numFmtId="0" fontId="0" fillId="4" borderId="0" xfId="0" applyFill="1"/>
    <xf numFmtId="0" fontId="0" fillId="4" borderId="1" xfId="0" applyFill="1" applyBorder="1" applyAlignment="1">
      <alignment horizontal="center"/>
    </xf>
    <xf numFmtId="0" fontId="0" fillId="0" borderId="0" xfId="0" quotePrefix="1"/>
    <xf numFmtId="164" fontId="0" fillId="0" borderId="0" xfId="0" applyNumberFormat="1"/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2" fillId="3" borderId="0" xfId="0" applyFont="1" applyFill="1"/>
    <xf numFmtId="0" fontId="1" fillId="7" borderId="0" xfId="0" applyFont="1" applyFill="1" applyAlignment="1">
      <alignment horizontal="center"/>
    </xf>
    <xf numFmtId="0" fontId="0" fillId="7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390525</xdr:colOff>
      <xdr:row>9</xdr:row>
      <xdr:rowOff>9525</xdr:rowOff>
    </xdr:from>
    <xdr:to>
      <xdr:col>19</xdr:col>
      <xdr:colOff>1352550</xdr:colOff>
      <xdr:row>11</xdr:row>
      <xdr:rowOff>133350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19</xdr:col>
      <xdr:colOff>390525</xdr:colOff>
      <xdr:row>9</xdr:row>
      <xdr:rowOff>9525</xdr:rowOff>
    </xdr:from>
    <xdr:to>
      <xdr:col>19</xdr:col>
      <xdr:colOff>1352550</xdr:colOff>
      <xdr:row>11</xdr:row>
      <xdr:rowOff>133350</xdr:rowOff>
    </xdr:to>
    <xdr:sp macro="" textlink="">
      <xdr:nvSpPr>
        <xdr:cNvPr id="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FBA15C0E-A182-050C-3BB8-A00546C3481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27</xdr:row>
      <xdr:rowOff>9525</xdr:rowOff>
    </xdr:from>
    <xdr:to>
      <xdr:col>2</xdr:col>
      <xdr:colOff>428625</xdr:colOff>
      <xdr:row>29</xdr:row>
      <xdr:rowOff>133350</xdr:rowOff>
    </xdr:to>
    <xdr:sp macro="" textlink="">
      <xdr:nvSpPr>
        <xdr:cNvPr id="3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F73405C5-CB9B-D6FB-27E1-4091228A02E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790575</xdr:colOff>
      <xdr:row>27</xdr:row>
      <xdr:rowOff>9525</xdr:rowOff>
    </xdr:from>
    <xdr:to>
      <xdr:col>2</xdr:col>
      <xdr:colOff>1752600</xdr:colOff>
      <xdr:row>29</xdr:row>
      <xdr:rowOff>133350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B30853-4017-1005-F391-68BE99EE8F7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27</xdr:row>
      <xdr:rowOff>9525</xdr:rowOff>
    </xdr:from>
    <xdr:to>
      <xdr:col>2</xdr:col>
      <xdr:colOff>428625</xdr:colOff>
      <xdr:row>29</xdr:row>
      <xdr:rowOff>133350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11F94D4C-1A3E-0F28-DD06-D29AD9ABF9D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790575</xdr:colOff>
      <xdr:row>27</xdr:row>
      <xdr:rowOff>9525</xdr:rowOff>
    </xdr:from>
    <xdr:to>
      <xdr:col>2</xdr:col>
      <xdr:colOff>1752600</xdr:colOff>
      <xdr:row>29</xdr:row>
      <xdr:rowOff>133350</xdr:rowOff>
    </xdr:to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7E696E1-0B5B-67D1-BA2F-17F4C4A1923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27</xdr:row>
      <xdr:rowOff>9525</xdr:rowOff>
    </xdr:from>
    <xdr:to>
      <xdr:col>2</xdr:col>
      <xdr:colOff>428625</xdr:colOff>
      <xdr:row>29</xdr:row>
      <xdr:rowOff>133350</xdr:rowOff>
    </xdr:to>
    <xdr:sp macro="" textlink="">
      <xdr:nvSpPr>
        <xdr:cNvPr id="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D6D94EDC-A17D-4FE9-DDAF-838BECB42F5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790575</xdr:colOff>
      <xdr:row>27</xdr:row>
      <xdr:rowOff>9525</xdr:rowOff>
    </xdr:from>
    <xdr:to>
      <xdr:col>2</xdr:col>
      <xdr:colOff>1752600</xdr:colOff>
      <xdr:row>29</xdr:row>
      <xdr:rowOff>133350</xdr:rowOff>
    </xdr:to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5F42AA5-719D-B998-8375-521B0BB8337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138114</xdr:rowOff>
    </xdr:from>
    <xdr:to>
      <xdr:col>2</xdr:col>
      <xdr:colOff>428625</xdr:colOff>
      <xdr:row>30</xdr:row>
      <xdr:rowOff>0</xdr:rowOff>
    </xdr:to>
    <xdr:sp macro="" textlink="">
      <xdr:nvSpPr>
        <xdr:cNvPr id="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73354DAC-210B-7CD3-8E92-E1C0E78F58A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54864" rIns="64008" bIns="54864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138113</xdr:rowOff>
    </xdr:from>
    <xdr:to>
      <xdr:col>2</xdr:col>
      <xdr:colOff>1533525</xdr:colOff>
      <xdr:row>30</xdr:row>
      <xdr:rowOff>2380</xdr:rowOff>
    </xdr:to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C20961C-3EE5-A4D2-3EC6-1D118F45D7D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54864" rIns="64008" bIns="54864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1683544</xdr:colOff>
      <xdr:row>27</xdr:row>
      <xdr:rowOff>4764</xdr:rowOff>
    </xdr:from>
    <xdr:to>
      <xdr:col>4</xdr:col>
      <xdr:colOff>0</xdr:colOff>
      <xdr:row>28</xdr:row>
      <xdr:rowOff>52389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8349FDB4-7458-0BAC-4877-16C159D8AD8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54864" rIns="64008" bIns="54864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1682519</xdr:colOff>
      <xdr:row>28</xdr:row>
      <xdr:rowOff>95940</xdr:rowOff>
    </xdr:from>
    <xdr:to>
      <xdr:col>3</xdr:col>
      <xdr:colOff>529993</xdr:colOff>
      <xdr:row>30</xdr:row>
      <xdr:rowOff>690</xdr:rowOff>
    </xdr:to>
    <xdr:sp macro="" textlink="">
      <xdr:nvSpPr>
        <xdr:cNvPr id="1030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C74902E5-40CB-D11F-BB47-935E6ADCDDD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54864" rIns="64008" bIns="54864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E5F4BCFD-6DF1-784D-1A0D-436E936F294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6CC4821-5B39-57C7-CC2D-7E824170B05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9033BF21-1AC6-B5E2-3753-2FB2D9C8858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8A4080A5-DE13-D843-2CCC-6013CD2BD2A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7D75222-2115-1310-8E70-5804B91A0C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286488E-855D-D5A6-280A-107062FDBCB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F100E655-AE3C-F4D4-5429-6F086B31EF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97A25980-0798-744F-B3A8-C19B82684C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A8AEAA6E-34C6-9EC6-BFA5-2E77BC8CCDE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DEBA8B8-9BAF-AC5F-6C2B-8CD63D59CF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20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7FB59D74-0F96-14C8-4AEE-95727C22B97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21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E0D1E44D-FADE-589D-046D-8BEAC1AEDE4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2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9463A519-BF76-3FDD-0ED3-B5FDA9A110D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643094C-ABC9-9230-5560-676EB4910AB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24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6335A82A-E1D2-44C5-7E88-E6FF9FF3E4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25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426667B9-A453-0A5E-9C1F-AC33A14ED19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2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A806F943-B650-7394-4F34-BDC80AB2491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0622B37-0016-2FCE-2D75-AF5D7071992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28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B51E13A7-B416-9BF0-B3CD-098C92B792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29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58B4719B-3D1B-7514-EEBE-651BEBF8055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3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D6A302C4-1ED2-D602-881F-C80159BB878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86394B0-721E-6516-A2AE-9B37CB1145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3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C16B98E4-74D8-4A11-8E9E-A3314BE1E6C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3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69745BAB-338D-2B6F-6494-7473C05F69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3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7364CD72-3F92-116C-6EC0-4AD188F40C9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ECFA3E9-EDC3-41B9-B284-DFB4ADCDB3C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3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6A0E4EBF-2F4C-8888-744F-2C23927EE98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3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A3013F26-8861-03F1-1709-773A0B11199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3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A11106EE-C481-DDE5-FF1D-D8FED3C812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C1973235-DB9E-D391-A16A-9173B6EF358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40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F1BD6451-5152-52DE-9A76-DA48FD7BB8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41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5813C15F-7A70-2026-317C-551C6E185E1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4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FDE68706-1CBD-A2C0-58E4-FDAC2B200DA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05B1546-DB7C-9D81-0412-19022F7AD08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44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C00713BF-2876-30DA-1779-ED95BE610C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45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D770A3C-F968-1F7D-80E2-93DAF369188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4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C2C99CDC-F57F-F00C-C2F3-4D22AA2E4E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5E78CD8-54CF-D90F-0AEA-2555497C85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48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9C1880EE-40F1-CD1A-3892-04B2181C924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49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F5A78755-00B6-9BC8-BEAD-2B06F87001B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5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B77C869F-6E02-6E41-8068-76E782737E9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C45A689-AC63-DDD6-DB58-515A46284CC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5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6789F0DF-C7A4-495A-82F6-5D8C3CC59E4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5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69977F52-EE70-8459-5C44-6FD38FECBD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5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4DCFE8CD-F3DC-6AD6-B393-F2CD65CB784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91255D4-602E-D04C-67A2-D3B66DB13F8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5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1557001A-2803-0D02-DC41-CBC664F442E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5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E65740A0-AE8E-4777-B50C-182CB20155F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5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CF0DF293-6362-B732-A7F2-225072171D9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4F5F87C-3847-49EC-FC04-E84AC4EDCA4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60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E21B9B4F-9FBC-381D-467B-0F1D8A88256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61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D79E417E-1897-58E8-3DEB-9BB8FAA21AF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6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594F716C-C008-EC6B-6FDD-C9D3369A798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1AC93DC-DCA8-F082-865F-B65B2A855D1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24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97E2B93B-A83F-3999-37DD-8706C559752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25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91983B61-8642-A3DF-E8B1-0AAC6731CF0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2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D2BAA37F-AC49-70F6-75B7-8407EB43FA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0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9826400-98AC-C9D2-4D81-D1D8A22E927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3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A9FAB0F3-1439-855E-6417-8F29C8E2A45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3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80AD4124-9ABF-B858-755F-3DF6393D1A2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3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FC9C1B10-40F5-8512-BF1D-107407D857B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0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C5D756F-097C-58C2-CCD2-877A02C15E4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3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577642C6-165A-72EC-F0F7-AF2C5406D57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3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E50D542-4F36-733E-5691-35493E2733B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3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B95B729A-25F9-B022-6906-EC4D092A086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0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B6EE8A-6D2A-2842-91DE-42AF8449FA7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40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CDB17E1F-2A9E-2DC9-4695-2E0BF9D6459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41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A60BD53C-8B7D-A67D-08B7-B9C7674AF41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4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D11BDC5F-88B5-6855-FA98-283756B01AC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0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E9FBDFA-E51C-1F35-F1B2-4E0F0E0B5C9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44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7DEB7A52-07AA-80B6-5C68-25115031EAC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45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84779C6A-A74D-697D-8E6D-E9E94AE3F50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4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407A9885-5B9D-9A34-9CE0-8A4F8840BA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0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CCEC469-3802-6CA6-A479-A9645C71866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48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DE813701-EDD1-4A1D-6C3A-845969E670C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49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B555554-2BA9-2009-99FF-D839E7888BE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5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C2218EB9-DE7E-ED58-60A9-746337D83BC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0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8C67B12-E028-741D-55CD-1F1B5EA236E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5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B908956C-D2AC-9300-9F8B-FBB00379CE2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5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DB42DEB0-DB90-3D22-1FB9-F6786DC3CEF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5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70EA66DD-0DBC-83D0-97BA-ADEF43A9E4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0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C7434AC-5D4B-C801-3A1B-5424BC3658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5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F3B2A6F4-E379-9EFF-F4B0-D50C81D1B6C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5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A6FE3489-2038-A09A-2A77-AF08C53D210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142875</xdr:rowOff>
    </xdr:from>
    <xdr:to>
      <xdr:col>2</xdr:col>
      <xdr:colOff>428625</xdr:colOff>
      <xdr:row>30</xdr:row>
      <xdr:rowOff>0</xdr:rowOff>
    </xdr:to>
    <xdr:sp macro="" textlink="">
      <xdr:nvSpPr>
        <xdr:cNvPr id="105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D6A89A0-0F9B-4CE1-6E41-F520ABFF3D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30</xdr:row>
      <xdr:rowOff>0</xdr:rowOff>
    </xdr:to>
    <xdr:sp macro="" textlink="">
      <xdr:nvSpPr>
        <xdr:cNvPr id="10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1792CFB3-885A-9B4B-A01C-8D13E397471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060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A15F9A46-071F-1F6C-EEC1-9835FA9E332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30</xdr:row>
      <xdr:rowOff>0</xdr:rowOff>
    </xdr:to>
    <xdr:sp macro="" textlink="">
      <xdr:nvSpPr>
        <xdr:cNvPr id="1061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FFE88846-BF24-D691-EA99-36B2C60552F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142875</xdr:rowOff>
        </xdr:from>
        <xdr:to>
          <xdr:col>2</xdr:col>
          <xdr:colOff>428625</xdr:colOff>
          <xdr:row>30</xdr:row>
          <xdr:rowOff>0</xdr:rowOff>
        </xdr:to>
        <xdr:sp macro="" textlink="">
          <xdr:nvSpPr>
            <xdr:cNvPr id="1062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7F96AD1-EC5A-F06A-12EE-49EEB3A03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26</xdr:row>
          <xdr:rowOff>142875</xdr:rowOff>
        </xdr:from>
        <xdr:to>
          <xdr:col>2</xdr:col>
          <xdr:colOff>1533525</xdr:colOff>
          <xdr:row>30</xdr:row>
          <xdr:rowOff>0</xdr:rowOff>
        </xdr:to>
        <xdr:sp macro="" textlink="">
          <xdr:nvSpPr>
            <xdr:cNvPr id="106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59B0CAD9-6443-932E-7821-B0CD10569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1685925</xdr:colOff>
          <xdr:row>27</xdr:row>
          <xdr:rowOff>9525</xdr:rowOff>
        </xdr:from>
        <xdr:to>
          <xdr:col>4</xdr:col>
          <xdr:colOff>0</xdr:colOff>
          <xdr:row>28</xdr:row>
          <xdr:rowOff>57150</xdr:rowOff>
        </xdr:to>
        <xdr:sp macro="" textlink="">
          <xdr:nvSpPr>
            <xdr:cNvPr id="106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AF648CB5-2801-634B-3445-EBF67B98D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1685925</xdr:colOff>
          <xdr:row>28</xdr:row>
          <xdr:rowOff>95250</xdr:rowOff>
        </xdr:from>
        <xdr:to>
          <xdr:col>3</xdr:col>
          <xdr:colOff>533400</xdr:colOff>
          <xdr:row>30</xdr:row>
          <xdr:rowOff>0</xdr:rowOff>
        </xdr:to>
        <xdr:sp macro="" textlink="">
          <xdr:nvSpPr>
            <xdr:cNvPr id="1065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99C7CF2-4DE1-A335-7B27-D4AF52B5C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390525</xdr:colOff>
      <xdr:row>12</xdr:row>
      <xdr:rowOff>9525</xdr:rowOff>
    </xdr:from>
    <xdr:to>
      <xdr:col>3</xdr:col>
      <xdr:colOff>1352550</xdr:colOff>
      <xdr:row>14</xdr:row>
      <xdr:rowOff>133350</xdr:rowOff>
    </xdr:to>
    <xdr:sp macro="" textlink="">
      <xdr:nvSpPr>
        <xdr:cNvPr id="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9FE3B86-D18D-417E-B326-81A50AEE3A5D}"/>
            </a:ext>
          </a:extLst>
        </xdr:cNvPr>
        <xdr:cNvSpPr/>
      </xdr:nvSpPr>
      <xdr:spPr bwMode="auto">
        <a:xfrm>
          <a:off x="1990725" y="1724025"/>
          <a:ext cx="142875" cy="4095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3</xdr:col>
      <xdr:colOff>390525</xdr:colOff>
      <xdr:row>12</xdr:row>
      <xdr:rowOff>9525</xdr:rowOff>
    </xdr:from>
    <xdr:to>
      <xdr:col>3</xdr:col>
      <xdr:colOff>1352550</xdr:colOff>
      <xdr:row>14</xdr:row>
      <xdr:rowOff>133350</xdr:rowOff>
    </xdr:to>
    <xdr:sp macro="" textlink="">
      <xdr:nvSpPr>
        <xdr:cNvPr id="3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D1F2EF8A-ED67-41B9-B04D-D1D108A7CB04}"/>
            </a:ext>
          </a:extLst>
        </xdr:cNvPr>
        <xdr:cNvSpPr/>
      </xdr:nvSpPr>
      <xdr:spPr bwMode="auto">
        <a:xfrm>
          <a:off x="1990725" y="1724025"/>
          <a:ext cx="142875" cy="4095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30</xdr:row>
      <xdr:rowOff>9525</xdr:rowOff>
    </xdr:from>
    <xdr:to>
      <xdr:col>2</xdr:col>
      <xdr:colOff>428625</xdr:colOff>
      <xdr:row>32</xdr:row>
      <xdr:rowOff>133350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C66C3643-E03B-4074-994D-73D81F9ED994}"/>
            </a:ext>
          </a:extLst>
        </xdr:cNvPr>
        <xdr:cNvSpPr/>
      </xdr:nvSpPr>
      <xdr:spPr bwMode="auto">
        <a:xfrm>
          <a:off x="533400" y="4295775"/>
          <a:ext cx="962025" cy="4095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790575</xdr:colOff>
      <xdr:row>27</xdr:row>
      <xdr:rowOff>9525</xdr:rowOff>
    </xdr:from>
    <xdr:to>
      <xdr:col>2</xdr:col>
      <xdr:colOff>1752600</xdr:colOff>
      <xdr:row>34</xdr:row>
      <xdr:rowOff>0</xdr:rowOff>
    </xdr:to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A19D3E2-7372-48CC-8E0A-505E1E1471C6}"/>
            </a:ext>
          </a:extLst>
        </xdr:cNvPr>
        <xdr:cNvSpPr/>
      </xdr:nvSpPr>
      <xdr:spPr bwMode="auto">
        <a:xfrm>
          <a:off x="1600200" y="3867150"/>
          <a:ext cx="0" cy="990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30</xdr:row>
      <xdr:rowOff>9525</xdr:rowOff>
    </xdr:from>
    <xdr:to>
      <xdr:col>2</xdr:col>
      <xdr:colOff>428625</xdr:colOff>
      <xdr:row>32</xdr:row>
      <xdr:rowOff>133350</xdr:rowOff>
    </xdr:to>
    <xdr:sp macro="" textlink="">
      <xdr:nvSpPr>
        <xdr:cNvPr id="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4ECA23BC-E62B-452E-A1B9-211B8B546DDF}"/>
            </a:ext>
          </a:extLst>
        </xdr:cNvPr>
        <xdr:cNvSpPr/>
      </xdr:nvSpPr>
      <xdr:spPr bwMode="auto">
        <a:xfrm>
          <a:off x="533400" y="4295775"/>
          <a:ext cx="962025" cy="4095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790575</xdr:colOff>
      <xdr:row>27</xdr:row>
      <xdr:rowOff>9525</xdr:rowOff>
    </xdr:from>
    <xdr:to>
      <xdr:col>2</xdr:col>
      <xdr:colOff>1752600</xdr:colOff>
      <xdr:row>34</xdr:row>
      <xdr:rowOff>0</xdr:rowOff>
    </xdr:to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962D1BB-0AB5-4EDE-A4CE-A818E3245C6D}"/>
            </a:ext>
          </a:extLst>
        </xdr:cNvPr>
        <xdr:cNvSpPr/>
      </xdr:nvSpPr>
      <xdr:spPr bwMode="auto">
        <a:xfrm>
          <a:off x="1600200" y="3867150"/>
          <a:ext cx="0" cy="990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30</xdr:row>
      <xdr:rowOff>9525</xdr:rowOff>
    </xdr:from>
    <xdr:to>
      <xdr:col>2</xdr:col>
      <xdr:colOff>428625</xdr:colOff>
      <xdr:row>32</xdr:row>
      <xdr:rowOff>133350</xdr:rowOff>
    </xdr:to>
    <xdr:sp macro="" textlink="">
      <xdr:nvSpPr>
        <xdr:cNvPr id="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3A502E55-8692-4CDC-925D-D996B9CFA749}"/>
            </a:ext>
          </a:extLst>
        </xdr:cNvPr>
        <xdr:cNvSpPr/>
      </xdr:nvSpPr>
      <xdr:spPr bwMode="auto">
        <a:xfrm>
          <a:off x="533400" y="4295775"/>
          <a:ext cx="962025" cy="40957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790575</xdr:colOff>
      <xdr:row>27</xdr:row>
      <xdr:rowOff>9525</xdr:rowOff>
    </xdr:from>
    <xdr:to>
      <xdr:col>2</xdr:col>
      <xdr:colOff>1752600</xdr:colOff>
      <xdr:row>34</xdr:row>
      <xdr:rowOff>0</xdr:rowOff>
    </xdr:to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40C6A1B-AD82-4593-836A-43F3DFB46A91}"/>
            </a:ext>
          </a:extLst>
        </xdr:cNvPr>
        <xdr:cNvSpPr/>
      </xdr:nvSpPr>
      <xdr:spPr bwMode="auto">
        <a:xfrm>
          <a:off x="1600200" y="3867150"/>
          <a:ext cx="0" cy="990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138114</xdr:rowOff>
    </xdr:from>
    <xdr:to>
      <xdr:col>2</xdr:col>
      <xdr:colOff>428625</xdr:colOff>
      <xdr:row>34</xdr:row>
      <xdr:rowOff>0</xdr:rowOff>
    </xdr:to>
    <xdr:sp macro="" textlink="">
      <xdr:nvSpPr>
        <xdr:cNvPr id="1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3E3707EE-587F-495D-BDFE-A0AF31CF7DBB}"/>
            </a:ext>
          </a:extLst>
        </xdr:cNvPr>
        <xdr:cNvSpPr/>
      </xdr:nvSpPr>
      <xdr:spPr bwMode="auto">
        <a:xfrm>
          <a:off x="533400" y="3852864"/>
          <a:ext cx="962025" cy="1004886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54864" rIns="64008" bIns="54864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138113</xdr:rowOff>
    </xdr:from>
    <xdr:to>
      <xdr:col>2</xdr:col>
      <xdr:colOff>1533525</xdr:colOff>
      <xdr:row>34</xdr:row>
      <xdr:rowOff>0</xdr:rowOff>
    </xdr:to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6F8DD52-AE3F-4067-B0D7-3B8EB4B1A228}"/>
            </a:ext>
          </a:extLst>
        </xdr:cNvPr>
        <xdr:cNvSpPr/>
      </xdr:nvSpPr>
      <xdr:spPr bwMode="auto">
        <a:xfrm>
          <a:off x="1600200" y="3852863"/>
          <a:ext cx="0" cy="1004887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54864" rIns="64008" bIns="54864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1683544</xdr:colOff>
      <xdr:row>27</xdr:row>
      <xdr:rowOff>4764</xdr:rowOff>
    </xdr:from>
    <xdr:to>
      <xdr:col>4</xdr:col>
      <xdr:colOff>0</xdr:colOff>
      <xdr:row>28</xdr:row>
      <xdr:rowOff>52389</xdr:rowOff>
    </xdr:to>
    <xdr:sp macro="" textlink="">
      <xdr:nvSpPr>
        <xdr:cNvPr id="1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2DBF40A8-D3DA-4EB1-88BD-A837206F73A7}"/>
            </a:ext>
          </a:extLst>
        </xdr:cNvPr>
        <xdr:cNvSpPr/>
      </xdr:nvSpPr>
      <xdr:spPr bwMode="auto">
        <a:xfrm>
          <a:off x="1597819" y="3862389"/>
          <a:ext cx="535781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54864" rIns="64008" bIns="54864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1682519</xdr:colOff>
      <xdr:row>28</xdr:row>
      <xdr:rowOff>95940</xdr:rowOff>
    </xdr:from>
    <xdr:to>
      <xdr:col>3</xdr:col>
      <xdr:colOff>529993</xdr:colOff>
      <xdr:row>34</xdr:row>
      <xdr:rowOff>0</xdr:rowOff>
    </xdr:to>
    <xdr:sp macro="" textlink="">
      <xdr:nvSpPr>
        <xdr:cNvPr id="1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566C95FC-9556-44A4-882F-97ACEAC4A1C4}"/>
            </a:ext>
          </a:extLst>
        </xdr:cNvPr>
        <xdr:cNvSpPr/>
      </xdr:nvSpPr>
      <xdr:spPr bwMode="auto">
        <a:xfrm>
          <a:off x="1596794" y="4096440"/>
          <a:ext cx="533399" cy="76131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64008" tIns="54864" rIns="64008" bIns="54864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1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32287D6B-A4EA-4093-8197-2FFD6026B995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529D763-F7A7-4989-B8B8-D1E14B66A9C5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1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1D7064B6-41F7-4404-A17F-6D04BF488D8A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1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83BA2575-057F-4513-ADFD-5B1A481902BD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1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16E7DD73-CB03-4F49-8C1F-B24DC968F011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283DCD5-A3EA-46DF-9039-3FCF1D1D2997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20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B1510701-F7BC-4C8E-87F7-DBA22EC0BF30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21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554CF1F-2C8F-4F54-B8D0-04CC07945FB0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2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E027056C-A3BB-4A71-9AA6-4A38FB3A863B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92053EEA-6738-4BB1-B942-EBA40F16F44D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24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A24B8AB1-8946-49FC-A8E5-BC1B530C08DB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25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1797688-2FCB-470B-BF55-9BA09F8C0A85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2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68392258-B73C-468B-A8D1-8866A957CE83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01F8571-9D8F-43D8-8F05-DEA6B053137E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28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C5AC4475-86C2-46E3-B59A-FFF4A42C2CF9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29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CC54964-2CCB-42C6-A718-D233F16575FC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3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FF1203C9-E26B-4EBF-AC53-2058AA6F0251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E32AF042-3DF6-4DD2-8842-BF4628FFBBB2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3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D4F22147-A9E0-441D-8EC2-72EE98E65CCF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3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5A8BF2F8-3684-40FC-BA64-6CE8D0C24448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3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848307A7-D5F8-449E-BEAF-5E1FE700953B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6F5588C0-ABF5-48D9-B72E-E07B95215D49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3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1C123BF8-412A-4725-A5A7-C0BE787C76B2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3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A60B94C-FAA3-49F8-83A5-C2980691B023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3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D16E7E79-72B4-4405-9F5A-1494A2513843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2C4DB03E-E01E-4DF0-B08F-EE18BD2A1E2A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40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B125381B-84F4-43ED-BBAA-49905F587CE0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41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748240A1-9994-4000-8357-E1A587349862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4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E8DF75E3-F203-4244-A9A2-F68BDB4E33A4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30DBAA44-0844-4D10-B7BD-EB8630AA6393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44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5AFD2BAD-2BF9-4A42-A6B3-0C3909748A02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45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B1F8EB7-5C68-43B0-AC48-91C20061BE81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4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8927D58-6EA9-4B58-A722-2B0DC0EE1557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7CA7E5E-3924-4D75-95BA-EFFD3B0CB313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48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F01F4DF7-EB46-48EE-97EB-90EB7961C889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49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1A6DE4DB-B084-4480-ACB0-6D44FF2C52DF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5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A6CC0C27-CC95-46CE-86CD-EFECA8E6A250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4883CBC4-7279-4B50-819E-389F0247B4A6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5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55C69A4D-8597-4882-BD2E-28AB111D13CC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5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53D76F14-7105-4D31-8610-8B54A94B3111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5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F47E2774-E3D8-48EE-B183-7B60816DBD27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240C747-696E-481D-82FC-04F1237F331D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5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461CBA8-B329-42CE-A1C5-982F49B43701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5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C6F8AAFD-76C2-45C6-AEAE-5A96880FF253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5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E15D053F-F5F2-41E7-A7C5-4D89E970BCB6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1B2D229-3A20-4EEC-8BA0-70805FB33166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60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749FDDF3-FC58-4EF8-9A43-54308CC44493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61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9677556D-75E4-4A96-9E60-17D0DED00848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6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6FE0395D-2653-4BC5-83F4-012E789DACFE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39D38B4-7232-4271-BC6B-0FC9DB702AC8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64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3848C6BD-02CF-40CD-8A34-CBA47E84AE8D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65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FBFB0559-F0B7-4F7C-9B48-8D9BC0A4C46A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66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1365C2E7-76EC-4A18-B9B6-560C6626CABD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8B0B83C-270F-4EAC-99CD-FDC22B61672A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68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AADA65A5-5321-4EC2-B6DA-9E8330AD22BB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69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2E67F4EC-A7D1-4B86-B352-18C49FDC8580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7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A267A470-74D8-462A-88A3-09E3ED2A0833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57B94A9A-85E8-4CA7-B875-DBB28855EFDB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72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F60C7D47-6C11-480D-857C-C0CF78440006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73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BE996306-9182-4CE2-B9A6-22676CD5BDBF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0</xdr:colOff>
      <xdr:row>29</xdr:row>
      <xdr:rowOff>142875</xdr:rowOff>
    </xdr:from>
    <xdr:to>
      <xdr:col>2</xdr:col>
      <xdr:colOff>428625</xdr:colOff>
      <xdr:row>33</xdr:row>
      <xdr:rowOff>0</xdr:rowOff>
    </xdr:to>
    <xdr:sp macro="" textlink="">
      <xdr:nvSpPr>
        <xdr:cNvPr id="7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13B6D4BD-0FFA-4C4D-919F-C6657CBEBE76}"/>
            </a:ext>
          </a:extLst>
        </xdr:cNvPr>
        <xdr:cNvSpPr/>
      </xdr:nvSpPr>
      <xdr:spPr bwMode="auto">
        <a:xfrm>
          <a:off x="533400" y="4286250"/>
          <a:ext cx="96202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571500</xdr:colOff>
      <xdr:row>26</xdr:row>
      <xdr:rowOff>142875</xdr:rowOff>
    </xdr:from>
    <xdr:to>
      <xdr:col>2</xdr:col>
      <xdr:colOff>1533525</xdr:colOff>
      <xdr:row>34</xdr:row>
      <xdr:rowOff>0</xdr:rowOff>
    </xdr:to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B34974B0-29BE-4AC8-BAE4-1B8167584018}"/>
            </a:ext>
          </a:extLst>
        </xdr:cNvPr>
        <xdr:cNvSpPr/>
      </xdr:nvSpPr>
      <xdr:spPr bwMode="auto">
        <a:xfrm>
          <a:off x="1600200" y="3857625"/>
          <a:ext cx="0" cy="10001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1685925</xdr:colOff>
      <xdr:row>27</xdr:row>
      <xdr:rowOff>9525</xdr:rowOff>
    </xdr:from>
    <xdr:to>
      <xdr:col>4</xdr:col>
      <xdr:colOff>0</xdr:colOff>
      <xdr:row>28</xdr:row>
      <xdr:rowOff>57150</xdr:rowOff>
    </xdr:to>
    <xdr:sp macro="" textlink="">
      <xdr:nvSpPr>
        <xdr:cNvPr id="76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F3AD0ED1-EF0B-4164-AE18-A6FB058A72BD}"/>
            </a:ext>
          </a:extLst>
        </xdr:cNvPr>
        <xdr:cNvSpPr/>
      </xdr:nvSpPr>
      <xdr:spPr bwMode="auto">
        <a:xfrm>
          <a:off x="1600200" y="3867150"/>
          <a:ext cx="533400" cy="1905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Hide</a:t>
          </a:r>
        </a:p>
      </xdr:txBody>
    </xdr:sp>
    <xdr:clientData fPrintsWithSheet="0"/>
  </xdr:twoCellAnchor>
  <xdr:twoCellAnchor>
    <xdr:from>
      <xdr:col>2</xdr:col>
      <xdr:colOff>1685925</xdr:colOff>
      <xdr:row>28</xdr:row>
      <xdr:rowOff>95250</xdr:rowOff>
    </xdr:from>
    <xdr:to>
      <xdr:col>3</xdr:col>
      <xdr:colOff>533400</xdr:colOff>
      <xdr:row>34</xdr:row>
      <xdr:rowOff>0</xdr:rowOff>
    </xdr:to>
    <xdr:sp macro="" textlink="">
      <xdr:nvSpPr>
        <xdr:cNvPr id="77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C2D78796-D194-49FC-851A-6D643B32B3F7}"/>
            </a:ext>
          </a:extLst>
        </xdr:cNvPr>
        <xdr:cNvSpPr/>
      </xdr:nvSpPr>
      <xdr:spPr bwMode="auto">
        <a:xfrm>
          <a:off x="1600200" y="4095750"/>
          <a:ext cx="533400" cy="762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Show</a:t>
          </a:r>
        </a:p>
      </xdr:txBody>
    </xdr:sp>
    <xdr:clientData fPrintsWithSheet="0"/>
  </xdr:twoCellAnchor>
  <xdr:twoCellAnchor>
    <xdr:from>
      <xdr:col>1</xdr:col>
      <xdr:colOff>9525</xdr:colOff>
      <xdr:row>26</xdr:row>
      <xdr:rowOff>133350</xdr:rowOff>
    </xdr:from>
    <xdr:to>
      <xdr:col>2</xdr:col>
      <xdr:colOff>885825</xdr:colOff>
      <xdr:row>29</xdr:row>
      <xdr:rowOff>133350</xdr:rowOff>
    </xdr:to>
    <xdr:sp macro="" textlink="">
      <xdr:nvSpPr>
        <xdr:cNvPr id="78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7BB7B7C1-A30C-4FAD-AAF0-E36DA6DBADA4}"/>
            </a:ext>
          </a:extLst>
        </xdr:cNvPr>
        <xdr:cNvSpPr/>
      </xdr:nvSpPr>
      <xdr:spPr bwMode="auto">
        <a:xfrm>
          <a:off x="542925" y="3848100"/>
          <a:ext cx="105727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1143000</xdr:colOff>
      <xdr:row>26</xdr:row>
      <xdr:rowOff>133350</xdr:rowOff>
    </xdr:from>
    <xdr:to>
      <xdr:col>3</xdr:col>
      <xdr:colOff>523875</xdr:colOff>
      <xdr:row>29</xdr:row>
      <xdr:rowOff>133350</xdr:rowOff>
    </xdr:to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80B1FD3C-767D-45D9-B241-26D41C359894}"/>
            </a:ext>
          </a:extLst>
        </xdr:cNvPr>
        <xdr:cNvSpPr/>
      </xdr:nvSpPr>
      <xdr:spPr bwMode="auto">
        <a:xfrm>
          <a:off x="1600200" y="3848100"/>
          <a:ext cx="523875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542925</xdr:colOff>
      <xdr:row>29</xdr:row>
      <xdr:rowOff>133350</xdr:rowOff>
    </xdr:to>
    <xdr:sp macro="" textlink="">
      <xdr:nvSpPr>
        <xdr:cNvPr id="80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605DC8B4-4407-4653-9D5D-7F40A1FE8D81}"/>
            </a:ext>
          </a:extLst>
        </xdr:cNvPr>
        <xdr:cNvSpPr/>
      </xdr:nvSpPr>
      <xdr:spPr bwMode="auto">
        <a:xfrm>
          <a:off x="533400" y="3848100"/>
          <a:ext cx="1066800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676275</xdr:colOff>
      <xdr:row>26</xdr:row>
      <xdr:rowOff>133350</xdr:rowOff>
    </xdr:from>
    <xdr:to>
      <xdr:col>2</xdr:col>
      <xdr:colOff>1495425</xdr:colOff>
      <xdr:row>29</xdr:row>
      <xdr:rowOff>133350</xdr:rowOff>
    </xdr:to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9BB07CF-3AFF-4498-AA75-02863C574A2C}"/>
            </a:ext>
          </a:extLst>
        </xdr:cNvPr>
        <xdr:cNvSpPr/>
      </xdr:nvSpPr>
      <xdr:spPr bwMode="auto">
        <a:xfrm>
          <a:off x="1600200" y="3848100"/>
          <a:ext cx="0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542925</xdr:colOff>
      <xdr:row>29</xdr:row>
      <xdr:rowOff>133350</xdr:rowOff>
    </xdr:to>
    <xdr:sp macro="" textlink="">
      <xdr:nvSpPr>
        <xdr:cNvPr id="82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8235E8B8-282D-4DDF-A90D-A3B35E7BB42D}"/>
            </a:ext>
          </a:extLst>
        </xdr:cNvPr>
        <xdr:cNvSpPr/>
      </xdr:nvSpPr>
      <xdr:spPr bwMode="auto">
        <a:xfrm>
          <a:off x="533400" y="3848100"/>
          <a:ext cx="1066800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676275</xdr:colOff>
      <xdr:row>26</xdr:row>
      <xdr:rowOff>133350</xdr:rowOff>
    </xdr:from>
    <xdr:to>
      <xdr:col>2</xdr:col>
      <xdr:colOff>1495425</xdr:colOff>
      <xdr:row>29</xdr:row>
      <xdr:rowOff>133350</xdr:rowOff>
    </xdr:to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D52A8C57-0E7C-4D6C-B872-9B15874A355B}"/>
            </a:ext>
          </a:extLst>
        </xdr:cNvPr>
        <xdr:cNvSpPr/>
      </xdr:nvSpPr>
      <xdr:spPr bwMode="auto">
        <a:xfrm>
          <a:off x="1600200" y="3848100"/>
          <a:ext cx="0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542925</xdr:colOff>
      <xdr:row>29</xdr:row>
      <xdr:rowOff>133350</xdr:rowOff>
    </xdr:to>
    <xdr:sp macro="" textlink="">
      <xdr:nvSpPr>
        <xdr:cNvPr id="84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E899B951-412A-4384-9D87-A86B448156F4}"/>
            </a:ext>
          </a:extLst>
        </xdr:cNvPr>
        <xdr:cNvSpPr/>
      </xdr:nvSpPr>
      <xdr:spPr bwMode="auto">
        <a:xfrm>
          <a:off x="533400" y="3848100"/>
          <a:ext cx="1066800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676275</xdr:colOff>
      <xdr:row>26</xdr:row>
      <xdr:rowOff>133350</xdr:rowOff>
    </xdr:from>
    <xdr:to>
      <xdr:col>2</xdr:col>
      <xdr:colOff>1495425</xdr:colOff>
      <xdr:row>29</xdr:row>
      <xdr:rowOff>133350</xdr:rowOff>
    </xdr:to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F8C3BA2A-0634-476E-8FD2-6C3FF57A3725}"/>
            </a:ext>
          </a:extLst>
        </xdr:cNvPr>
        <xdr:cNvSpPr/>
      </xdr:nvSpPr>
      <xdr:spPr bwMode="auto">
        <a:xfrm>
          <a:off x="1600200" y="3848100"/>
          <a:ext cx="0" cy="4286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457200</xdr:colOff>
      <xdr:row>29</xdr:row>
      <xdr:rowOff>133350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F536EDCE-C93F-44C8-B433-B3DB05C1113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638175</xdr:colOff>
      <xdr:row>26</xdr:row>
      <xdr:rowOff>133350</xdr:rowOff>
    </xdr:from>
    <xdr:to>
      <xdr:col>2</xdr:col>
      <xdr:colOff>1371600</xdr:colOff>
      <xdr:row>29</xdr:row>
      <xdr:rowOff>133350</xdr:rowOff>
    </xdr:to>
    <xdr:sp macro="" textlink="">
      <xdr:nvSpPr>
        <xdr:cNvPr id="2050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1535F89-06E0-4DDF-9123-47A3636C541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1552575</xdr:colOff>
      <xdr:row>26</xdr:row>
      <xdr:rowOff>133350</xdr:rowOff>
    </xdr:from>
    <xdr:to>
      <xdr:col>3</xdr:col>
      <xdr:colOff>523875</xdr:colOff>
      <xdr:row>29</xdr:row>
      <xdr:rowOff>133350</xdr:rowOff>
    </xdr:to>
    <xdr:sp macro="" textlink="">
      <xdr:nvSpPr>
        <xdr:cNvPr id="2051" name="Button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5A82F127-00C0-270C-7CCA-1BE0DC0A620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C#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457200</xdr:colOff>
      <xdr:row>29</xdr:row>
      <xdr:rowOff>133350</xdr:rowOff>
    </xdr:to>
    <xdr:sp macro="" textlink="">
      <xdr:nvSpPr>
        <xdr:cNvPr id="86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616DA36E-CFD1-01D9-AFC4-B039D32878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638175</xdr:colOff>
      <xdr:row>26</xdr:row>
      <xdr:rowOff>133350</xdr:rowOff>
    </xdr:from>
    <xdr:to>
      <xdr:col>2</xdr:col>
      <xdr:colOff>1371600</xdr:colOff>
      <xdr:row>29</xdr:row>
      <xdr:rowOff>133350</xdr:rowOff>
    </xdr:to>
    <xdr:sp macro="" textlink="">
      <xdr:nvSpPr>
        <xdr:cNvPr id="87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EEC422F-4365-B287-B5AB-4580906A753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1552575</xdr:colOff>
      <xdr:row>26</xdr:row>
      <xdr:rowOff>133350</xdr:rowOff>
    </xdr:from>
    <xdr:to>
      <xdr:col>3</xdr:col>
      <xdr:colOff>523875</xdr:colOff>
      <xdr:row>29</xdr:row>
      <xdr:rowOff>133350</xdr:rowOff>
    </xdr:to>
    <xdr:sp macro="" textlink="">
      <xdr:nvSpPr>
        <xdr:cNvPr id="88" name="Button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22A1FEF1-221E-DF24-2F39-38CB40213C8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C#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457200</xdr:colOff>
      <xdr:row>29</xdr:row>
      <xdr:rowOff>133350</xdr:rowOff>
    </xdr:to>
    <xdr:sp macro="" textlink="">
      <xdr:nvSpPr>
        <xdr:cNvPr id="8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21F3B5BA-3DC2-5044-B3BC-5BB5E7691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638175</xdr:colOff>
      <xdr:row>26</xdr:row>
      <xdr:rowOff>133350</xdr:rowOff>
    </xdr:from>
    <xdr:to>
      <xdr:col>2</xdr:col>
      <xdr:colOff>1371600</xdr:colOff>
      <xdr:row>29</xdr:row>
      <xdr:rowOff>133350</xdr:rowOff>
    </xdr:to>
    <xdr:sp macro="" textlink="">
      <xdr:nvSpPr>
        <xdr:cNvPr id="90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50BF35C-5543-0221-AE32-8AC1A96FB5E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1552575</xdr:colOff>
      <xdr:row>26</xdr:row>
      <xdr:rowOff>133350</xdr:rowOff>
    </xdr:from>
    <xdr:to>
      <xdr:col>3</xdr:col>
      <xdr:colOff>523875</xdr:colOff>
      <xdr:row>29</xdr:row>
      <xdr:rowOff>133350</xdr:rowOff>
    </xdr:to>
    <xdr:sp macro="" textlink="">
      <xdr:nvSpPr>
        <xdr:cNvPr id="91" name="Button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D38C489E-0BCB-BF5F-370F-1BD5DB1705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C#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457200</xdr:colOff>
      <xdr:row>29</xdr:row>
      <xdr:rowOff>133350</xdr:rowOff>
    </xdr:to>
    <xdr:sp macro="" textlink="">
      <xdr:nvSpPr>
        <xdr:cNvPr id="92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23B18461-FCDF-D5F1-A519-EF41091A726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638175</xdr:colOff>
      <xdr:row>26</xdr:row>
      <xdr:rowOff>133350</xdr:rowOff>
    </xdr:from>
    <xdr:to>
      <xdr:col>2</xdr:col>
      <xdr:colOff>1371600</xdr:colOff>
      <xdr:row>29</xdr:row>
      <xdr:rowOff>133350</xdr:rowOff>
    </xdr:to>
    <xdr:sp macro="" textlink="">
      <xdr:nvSpPr>
        <xdr:cNvPr id="93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595251A-49E4-14EA-BDA7-46FD7D5933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1552575</xdr:colOff>
      <xdr:row>26</xdr:row>
      <xdr:rowOff>133350</xdr:rowOff>
    </xdr:from>
    <xdr:to>
      <xdr:col>3</xdr:col>
      <xdr:colOff>523875</xdr:colOff>
      <xdr:row>29</xdr:row>
      <xdr:rowOff>133350</xdr:rowOff>
    </xdr:to>
    <xdr:sp macro="" textlink="">
      <xdr:nvSpPr>
        <xdr:cNvPr id="94" name="Button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0BFDE926-6337-4C1F-0953-A3097738A09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C#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457200</xdr:colOff>
      <xdr:row>29</xdr:row>
      <xdr:rowOff>133350</xdr:rowOff>
    </xdr:to>
    <xdr:sp macro="" textlink="">
      <xdr:nvSpPr>
        <xdr:cNvPr id="95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9A15474D-E0FB-CF3E-AA31-F4150E7BBE6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638175</xdr:colOff>
      <xdr:row>26</xdr:row>
      <xdr:rowOff>133350</xdr:rowOff>
    </xdr:from>
    <xdr:to>
      <xdr:col>2</xdr:col>
      <xdr:colOff>1371600</xdr:colOff>
      <xdr:row>29</xdr:row>
      <xdr:rowOff>133350</xdr:rowOff>
    </xdr:to>
    <xdr:sp macro="" textlink="">
      <xdr:nvSpPr>
        <xdr:cNvPr id="96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831CC01-080C-BACB-67B8-ECADE033DE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1552575</xdr:colOff>
      <xdr:row>26</xdr:row>
      <xdr:rowOff>133350</xdr:rowOff>
    </xdr:from>
    <xdr:to>
      <xdr:col>3</xdr:col>
      <xdr:colOff>523875</xdr:colOff>
      <xdr:row>29</xdr:row>
      <xdr:rowOff>133350</xdr:rowOff>
    </xdr:to>
    <xdr:sp macro="" textlink="">
      <xdr:nvSpPr>
        <xdr:cNvPr id="97" name="Button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9EC96342-C8C0-C8D1-2234-7966B1B11EF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C#</a:t>
          </a:r>
        </a:p>
      </xdr:txBody>
    </xdr:sp>
    <xdr:clientData fPrintsWithSheet="0"/>
  </xdr:twoCellAnchor>
  <xdr:twoCellAnchor>
    <xdr:from>
      <xdr:col>1</xdr:col>
      <xdr:colOff>0</xdr:colOff>
      <xdr:row>26</xdr:row>
      <xdr:rowOff>133350</xdr:rowOff>
    </xdr:from>
    <xdr:to>
      <xdr:col>2</xdr:col>
      <xdr:colOff>457200</xdr:colOff>
      <xdr:row>29</xdr:row>
      <xdr:rowOff>133350</xdr:rowOff>
    </xdr:to>
    <xdr:sp macro="" textlink="">
      <xdr:nvSpPr>
        <xdr:cNvPr id="98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E78DA8FD-6F1F-2CA2-709E-DD845939226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 &amp; Run</a:t>
          </a:r>
        </a:p>
      </xdr:txBody>
    </xdr:sp>
    <xdr:clientData fPrintsWithSheet="0"/>
  </xdr:twoCellAnchor>
  <xdr:twoCellAnchor>
    <xdr:from>
      <xdr:col>2</xdr:col>
      <xdr:colOff>638175</xdr:colOff>
      <xdr:row>26</xdr:row>
      <xdr:rowOff>133350</xdr:rowOff>
    </xdr:from>
    <xdr:to>
      <xdr:col>2</xdr:col>
      <xdr:colOff>1371600</xdr:colOff>
      <xdr:row>29</xdr:row>
      <xdr:rowOff>133350</xdr:rowOff>
    </xdr:to>
    <xdr:sp macro="" textlink="">
      <xdr:nvSpPr>
        <xdr:cNvPr id="99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38DDF89-D6FD-747B-5ADC-0EB1A1B6FDA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Run</a:t>
          </a:r>
        </a:p>
      </xdr:txBody>
    </xdr:sp>
    <xdr:clientData fPrintsWithSheet="0"/>
  </xdr:twoCellAnchor>
  <xdr:twoCellAnchor>
    <xdr:from>
      <xdr:col>2</xdr:col>
      <xdr:colOff>1552575</xdr:colOff>
      <xdr:row>26</xdr:row>
      <xdr:rowOff>133350</xdr:rowOff>
    </xdr:from>
    <xdr:to>
      <xdr:col>3</xdr:col>
      <xdr:colOff>523875</xdr:colOff>
      <xdr:row>29</xdr:row>
      <xdr:rowOff>133350</xdr:rowOff>
    </xdr:to>
    <xdr:sp macro="" textlink="">
      <xdr:nvSpPr>
        <xdr:cNvPr id="100" name="Button 3" hidden="1">
          <a:extLst>
            <a:ext uri="{63B3BB69-23CF-44E3-9099-C40C66FF867C}">
              <a14:compatExt xmlns:a14="http://schemas.microsoft.com/office/drawing/2010/main" spid="_x0000_s2051"/>
            </a:ext>
            <a:ext uri="{FF2B5EF4-FFF2-40B4-BE49-F238E27FC236}">
              <a16:creationId xmlns:a16="http://schemas.microsoft.com/office/drawing/2014/main" id="{54BA6592-8ED3-CD77-F2ED-DB9362FC870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it-IT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C#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133350</xdr:rowOff>
        </xdr:from>
        <xdr:to>
          <xdr:col>2</xdr:col>
          <xdr:colOff>457200</xdr:colOff>
          <xdr:row>29</xdr:row>
          <xdr:rowOff>133350</xdr:rowOff>
        </xdr:to>
        <xdr:sp macro="" textlink="">
          <xdr:nvSpPr>
            <xdr:cNvPr id="101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C439D75-406B-2EA6-2683-D300A2758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&amp;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26</xdr:row>
          <xdr:rowOff>133350</xdr:rowOff>
        </xdr:from>
        <xdr:to>
          <xdr:col>2</xdr:col>
          <xdr:colOff>1371600</xdr:colOff>
          <xdr:row>29</xdr:row>
          <xdr:rowOff>133350</xdr:rowOff>
        </xdr:to>
        <xdr:sp macro="" textlink="">
          <xdr:nvSpPr>
            <xdr:cNvPr id="102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158CD04-4DA7-0222-22A4-F69D55DCB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1552575</xdr:colOff>
          <xdr:row>26</xdr:row>
          <xdr:rowOff>133350</xdr:rowOff>
        </xdr:from>
        <xdr:to>
          <xdr:col>3</xdr:col>
          <xdr:colOff>523875</xdr:colOff>
          <xdr:row>29</xdr:row>
          <xdr:rowOff>133350</xdr:rowOff>
        </xdr:to>
        <xdr:sp macro="" textlink="">
          <xdr:nvSpPr>
            <xdr:cNvPr id="103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9FC95066-C7C1-1EC7-2664-033A0E161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C#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macro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90542DF-FBC2-48CC-BCE2-8CF072A2B028}">
  <dimension ref="B1:AS90"/>
  <sheetViews>
    <sheetView zoomScaleNormal="100" workbookViewId="0">
      <selection activeCell="C32" sqref="C32"/>
    </sheetView>
  </sheetViews>
  <sheetFormatPr defaultRowHeight="11.25" x14ac:dyDescent="0.2"/>
  <cols>
    <col min="1" max="1" width="3.83203125" customWidth="1"/>
    <col min="3" max="3" width="30.83203125" customWidth="1"/>
    <col min="5" max="5" width="3.83203125" customWidth="1"/>
    <col min="6" max="6" width="16.83203125" hidden="1" customWidth="1"/>
    <col min="7" max="7" width="4.83203125" hidden="1" customWidth="1"/>
    <col min="8" max="26" width="9.33203125" hidden="1" customWidth="1"/>
    <col min="32" max="33" width="9.33203125" customWidth="1"/>
    <col min="35" max="36" width="3.83203125" customWidth="1"/>
    <col min="37" max="37" width="30.83203125" customWidth="1"/>
  </cols>
  <sheetData>
    <row r="1" spans="2:45" x14ac:dyDescent="0.2">
      <c r="H1" s="2">
        <v>1</v>
      </c>
      <c r="I1" s="2">
        <v>2</v>
      </c>
      <c r="J1" s="2">
        <v>3</v>
      </c>
      <c r="K1" s="2">
        <v>4</v>
      </c>
      <c r="L1" s="2">
        <v>5</v>
      </c>
      <c r="M1" s="2">
        <v>6</v>
      </c>
      <c r="N1" s="2">
        <v>7</v>
      </c>
      <c r="AA1" s="6"/>
      <c r="AB1" s="6"/>
      <c r="AC1" s="6"/>
      <c r="AD1" s="6">
        <v>494</v>
      </c>
      <c r="AE1" s="6">
        <v>210</v>
      </c>
      <c r="AF1" s="6" t="s">
        <v>35</v>
      </c>
      <c r="AG1" s="6"/>
    </row>
    <row r="2" spans="2:45" x14ac:dyDescent="0.2">
      <c r="B2" s="1" t="s">
        <v>1</v>
      </c>
      <c r="C2" s="1" t="s">
        <v>2</v>
      </c>
      <c r="F2" s="2">
        <f>COUNT(H2:H19)</f>
        <v>15</v>
      </c>
      <c r="G2" s="1" t="s">
        <v>33</v>
      </c>
      <c r="H2" s="1" t="s">
        <v>0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R2" t="b">
        <f>COLUMN.WIDTH(,F1:Z1,,1)</f>
        <v>1</v>
      </c>
      <c r="T2" t="b">
        <f>ECHO(U2)</f>
        <v>1</v>
      </c>
      <c r="U2" t="b">
        <v>0</v>
      </c>
      <c r="AA2" s="6">
        <v>1</v>
      </c>
      <c r="AB2" s="6">
        <v>330</v>
      </c>
      <c r="AC2" s="6">
        <v>174</v>
      </c>
      <c r="AD2" s="6">
        <v>88</v>
      </c>
      <c r="AE2" s="6"/>
      <c r="AF2" s="6" t="s">
        <v>36</v>
      </c>
      <c r="AG2" s="6"/>
      <c r="AK2" s="1" t="s">
        <v>84</v>
      </c>
      <c r="AL2" s="11" t="s">
        <v>31</v>
      </c>
      <c r="AM2" s="11" t="s">
        <v>80</v>
      </c>
      <c r="AN2" s="11" t="s">
        <v>82</v>
      </c>
      <c r="AO2" s="11" t="s">
        <v>83</v>
      </c>
      <c r="AP2" s="1" t="s">
        <v>81</v>
      </c>
      <c r="AQ2" s="10" t="s">
        <v>31</v>
      </c>
      <c r="AR2" s="10" t="s">
        <v>80</v>
      </c>
    </row>
    <row r="3" spans="2:45" x14ac:dyDescent="0.2">
      <c r="B3" s="2">
        <v>1</v>
      </c>
      <c r="C3" t="s">
        <v>3</v>
      </c>
      <c r="D3" s="2" t="s">
        <v>89</v>
      </c>
      <c r="F3" s="3" t="s">
        <v>34</v>
      </c>
      <c r="G3" s="2">
        <v>0</v>
      </c>
      <c r="H3" s="2"/>
      <c r="I3" s="2"/>
      <c r="J3" s="2"/>
      <c r="K3" s="2">
        <v>494</v>
      </c>
      <c r="L3" s="2">
        <v>210</v>
      </c>
      <c r="M3" t="s">
        <v>35</v>
      </c>
      <c r="N3" s="2"/>
      <c r="R3" t="b">
        <f>HALT()</f>
        <v>1</v>
      </c>
      <c r="T3" t="b">
        <f>GOTO(DialogRefs)</f>
        <v>1</v>
      </c>
      <c r="AA3" s="6">
        <v>2</v>
      </c>
      <c r="AB3" s="6">
        <v>225</v>
      </c>
      <c r="AC3" s="6">
        <v>174</v>
      </c>
      <c r="AD3" s="6">
        <v>88</v>
      </c>
      <c r="AE3" s="6"/>
      <c r="AF3" s="6" t="s">
        <v>37</v>
      </c>
      <c r="AG3" s="6"/>
      <c r="AI3" s="2">
        <f>FIND("|",D3)</f>
        <v>3</v>
      </c>
      <c r="AJ3" s="2">
        <f>FIND("|",D3,1+AI3)</f>
        <v>8</v>
      </c>
      <c r="AK3" t="str">
        <f>C3</f>
        <v>Default OK button</v>
      </c>
      <c r="AL3" t="b">
        <f>ISNUMBER(FIND("t",LEFT(D3,AI3)))</f>
        <v>1</v>
      </c>
      <c r="AM3" t="b">
        <f>ISNUMBER(FIND("v",LEFT(D3,AI3)))</f>
        <v>0</v>
      </c>
      <c r="AN3" t="b">
        <f>ISNUMBER(FIND("t",MID(D3,AI3,AJ3-AI3)))</f>
        <v>0</v>
      </c>
      <c r="AO3" t="b">
        <f>ISNUMBER(FIND("d",MID(D3,AI3,AJ3-AI3)))</f>
        <v>1</v>
      </c>
      <c r="AP3" t="b">
        <f>ISNUMBER(FIND("f",MID(D3,AI3,AJ3-AI3)))</f>
        <v>1</v>
      </c>
      <c r="AQ3" t="b">
        <f>ISNUMBER(FIND("t",RIGHT(D3,LEN(D3)-AJ3)))</f>
        <v>1</v>
      </c>
      <c r="AR3" t="b">
        <f>ISNUMBER(FIND("v",RIGHT(D3,LEN(D3)-AJ3)))</f>
        <v>0</v>
      </c>
      <c r="AS3" s="2"/>
    </row>
    <row r="4" spans="2:45" x14ac:dyDescent="0.2">
      <c r="B4" s="2">
        <v>2</v>
      </c>
      <c r="C4" t="s">
        <v>4</v>
      </c>
      <c r="D4" s="2" t="s">
        <v>89</v>
      </c>
      <c r="F4" s="3" t="str">
        <f>_xlfn.XLOOKUP(MOD(H4,100),$B$3:$B$26,$C$3:$C$26)</f>
        <v>Default OK button</v>
      </c>
      <c r="G4" s="2">
        <f>G3+1</f>
        <v>1</v>
      </c>
      <c r="H4" s="2">
        <v>1</v>
      </c>
      <c r="I4" s="2">
        <v>330</v>
      </c>
      <c r="J4" s="2">
        <v>174</v>
      </c>
      <c r="K4" s="2">
        <v>88</v>
      </c>
      <c r="L4" s="2"/>
      <c r="M4" t="s">
        <v>36</v>
      </c>
      <c r="T4" s="2" t="str">
        <f>_xlfn.XLOOKUP("X",_xlfn.CHOOSECOLS(DialogRefs,3),_xlfn.CHOOSECOLS(DialogRefs,1))</f>
        <v>$F$2</v>
      </c>
      <c r="AA4" s="6">
        <v>5</v>
      </c>
      <c r="AB4" s="6">
        <v>19</v>
      </c>
      <c r="AC4" s="6">
        <v>11</v>
      </c>
      <c r="AD4" s="6"/>
      <c r="AE4" s="6"/>
      <c r="AF4" s="6" t="s">
        <v>38</v>
      </c>
      <c r="AG4" s="6"/>
      <c r="AI4" s="2">
        <f t="shared" ref="AI4:AI24" si="0">FIND("|",D4)</f>
        <v>3</v>
      </c>
      <c r="AJ4" s="2">
        <f t="shared" ref="AJ4:AJ26" si="1">FIND("|",D4,1+AI4)</f>
        <v>8</v>
      </c>
      <c r="AK4" t="str">
        <f t="shared" ref="AK4:AK24" si="2">C4</f>
        <v>Cancel button</v>
      </c>
      <c r="AL4" t="b">
        <f t="shared" ref="AL4:AL25" si="3">ISNUMBER(FIND("t",LEFT(D4,AI4)))</f>
        <v>1</v>
      </c>
      <c r="AM4" t="b">
        <f t="shared" ref="AM4:AM25" si="4">ISNUMBER(FIND("v",LEFT(D4,AI4)))</f>
        <v>0</v>
      </c>
      <c r="AN4" t="b">
        <f t="shared" ref="AN4:AN25" si="5">ISNUMBER(FIND("t",MID(D4,AI4,AJ4-AI4)))</f>
        <v>0</v>
      </c>
      <c r="AO4" t="b">
        <f t="shared" ref="AO4:AO25" si="6">ISNUMBER(FIND("d",MID(D4,AI4,AJ4-AI4)))</f>
        <v>1</v>
      </c>
      <c r="AP4" t="b">
        <f t="shared" ref="AP4:AP25" si="7">ISNUMBER(FIND("f",MID(D4,AI4,AJ4-AI4)))</f>
        <v>1</v>
      </c>
      <c r="AQ4" t="b">
        <f t="shared" ref="AQ4:AQ25" si="8">ISNUMBER(FIND("t",RIGHT(D4,LEN(D4)-AJ4)))</f>
        <v>1</v>
      </c>
      <c r="AR4" t="b">
        <f t="shared" ref="AR4:AR25" si="9">ISNUMBER(FIND("v",RIGHT(D4,LEN(D4)-AJ4)))</f>
        <v>0</v>
      </c>
      <c r="AS4" s="2"/>
    </row>
    <row r="5" spans="2:45" x14ac:dyDescent="0.2">
      <c r="B5" s="2">
        <v>3</v>
      </c>
      <c r="C5" t="s">
        <v>5</v>
      </c>
      <c r="D5" s="2" t="s">
        <v>89</v>
      </c>
      <c r="F5" s="3" t="str">
        <f t="shared" ref="F5:F18" si="10">_xlfn.XLOOKUP(MOD(H5,100),$B$3:$B$26,$C$3:$C$26)</f>
        <v>Cancel button</v>
      </c>
      <c r="G5" s="2">
        <f t="shared" ref="G5:G18" si="11">G4+1</f>
        <v>2</v>
      </c>
      <c r="H5" s="2">
        <v>2</v>
      </c>
      <c r="I5" s="2">
        <v>225</v>
      </c>
      <c r="J5" s="2">
        <v>174</v>
      </c>
      <c r="K5" s="2">
        <v>88</v>
      </c>
      <c r="L5" s="2"/>
      <c r="M5" t="s">
        <v>37</v>
      </c>
      <c r="R5" t="b">
        <f>COLUMN.WIDTH(,F1:Z1,,2)</f>
        <v>1</v>
      </c>
      <c r="T5" t="b">
        <f>GOTO(INDIRECT(T4))</f>
        <v>1</v>
      </c>
      <c r="AA5" s="6">
        <v>6</v>
      </c>
      <c r="AB5" s="6">
        <v>19</v>
      </c>
      <c r="AC5" s="6">
        <v>29</v>
      </c>
      <c r="AD5" s="6">
        <v>251</v>
      </c>
      <c r="AE5" s="6"/>
      <c r="AF5" s="6"/>
      <c r="AG5" s="6"/>
      <c r="AI5" s="2">
        <f t="shared" si="0"/>
        <v>3</v>
      </c>
      <c r="AJ5" s="2">
        <f t="shared" si="1"/>
        <v>8</v>
      </c>
      <c r="AK5" t="str">
        <f t="shared" si="2"/>
        <v>OK button</v>
      </c>
      <c r="AL5" t="b">
        <f t="shared" si="3"/>
        <v>1</v>
      </c>
      <c r="AM5" t="b">
        <f t="shared" si="4"/>
        <v>0</v>
      </c>
      <c r="AN5" t="b">
        <f t="shared" si="5"/>
        <v>0</v>
      </c>
      <c r="AO5" t="b">
        <f t="shared" si="6"/>
        <v>1</v>
      </c>
      <c r="AP5" t="b">
        <f t="shared" si="7"/>
        <v>1</v>
      </c>
      <c r="AQ5" t="b">
        <f t="shared" si="8"/>
        <v>1</v>
      </c>
      <c r="AR5" t="b">
        <f t="shared" si="9"/>
        <v>0</v>
      </c>
      <c r="AS5" s="2"/>
    </row>
    <row r="6" spans="2:45" x14ac:dyDescent="0.2">
      <c r="B6" s="2">
        <v>4</v>
      </c>
      <c r="C6" t="s">
        <v>6</v>
      </c>
      <c r="D6" s="2" t="s">
        <v>89</v>
      </c>
      <c r="F6" s="3" t="str">
        <f t="shared" si="10"/>
        <v>Static text</v>
      </c>
      <c r="G6" s="2">
        <f t="shared" si="11"/>
        <v>3</v>
      </c>
      <c r="H6" s="2">
        <v>5</v>
      </c>
      <c r="I6" s="2">
        <v>19</v>
      </c>
      <c r="J6" s="2">
        <v>11</v>
      </c>
      <c r="K6" s="2"/>
      <c r="L6" s="2"/>
      <c r="M6" t="s">
        <v>38</v>
      </c>
      <c r="R6" t="b">
        <f>HALT()</f>
        <v>1</v>
      </c>
      <c r="T6" s="2">
        <f>1+INDIRECT(T4)</f>
        <v>16</v>
      </c>
      <c r="AA6" s="6">
        <v>14</v>
      </c>
      <c r="AB6" s="6">
        <v>305</v>
      </c>
      <c r="AC6" s="6">
        <v>15</v>
      </c>
      <c r="AD6" s="6">
        <v>154</v>
      </c>
      <c r="AE6" s="6">
        <v>73</v>
      </c>
      <c r="AF6" s="6" t="s">
        <v>39</v>
      </c>
      <c r="AG6" s="6"/>
      <c r="AI6" s="2">
        <f t="shared" si="0"/>
        <v>3</v>
      </c>
      <c r="AJ6" s="2">
        <f t="shared" si="1"/>
        <v>8</v>
      </c>
      <c r="AK6" t="str">
        <f t="shared" si="2"/>
        <v>Default Cancel button</v>
      </c>
      <c r="AL6" t="b">
        <f t="shared" si="3"/>
        <v>1</v>
      </c>
      <c r="AM6" t="b">
        <f t="shared" si="4"/>
        <v>0</v>
      </c>
      <c r="AN6" t="b">
        <f t="shared" si="5"/>
        <v>0</v>
      </c>
      <c r="AO6" t="b">
        <f t="shared" si="6"/>
        <v>1</v>
      </c>
      <c r="AP6" t="b">
        <f t="shared" si="7"/>
        <v>1</v>
      </c>
      <c r="AQ6" t="b">
        <f t="shared" si="8"/>
        <v>1</v>
      </c>
      <c r="AR6" t="b">
        <f t="shared" si="9"/>
        <v>0</v>
      </c>
      <c r="AS6" s="2"/>
    </row>
    <row r="7" spans="2:45" x14ac:dyDescent="0.2">
      <c r="B7" s="2">
        <v>5</v>
      </c>
      <c r="C7" t="s">
        <v>7</v>
      </c>
      <c r="D7" s="2" t="s">
        <v>85</v>
      </c>
      <c r="F7" s="3" t="str">
        <f t="shared" si="10"/>
        <v>Text edit box</v>
      </c>
      <c r="G7" s="2">
        <f t="shared" si="11"/>
        <v>4</v>
      </c>
      <c r="H7" s="2">
        <v>6</v>
      </c>
      <c r="I7" s="2">
        <v>19</v>
      </c>
      <c r="J7" s="2">
        <v>29</v>
      </c>
      <c r="K7" s="2">
        <v>251</v>
      </c>
      <c r="L7" s="2"/>
      <c r="T7" t="b">
        <f>SELECT(OFFSET(DialogTable,0,0,U7,7))</f>
        <v>1</v>
      </c>
      <c r="U7" s="2">
        <v>70</v>
      </c>
      <c r="AA7" s="6">
        <v>11</v>
      </c>
      <c r="AB7" s="6"/>
      <c r="AC7" s="6"/>
      <c r="AD7" s="6"/>
      <c r="AE7" s="6"/>
      <c r="AF7" s="6"/>
      <c r="AG7" s="6">
        <v>1</v>
      </c>
      <c r="AI7" s="2">
        <f t="shared" si="0"/>
        <v>3</v>
      </c>
      <c r="AJ7" s="2">
        <f t="shared" si="1"/>
        <v>7</v>
      </c>
      <c r="AK7" t="str">
        <f t="shared" si="2"/>
        <v>Static text</v>
      </c>
      <c r="AL7" t="b">
        <f t="shared" si="3"/>
        <v>1</v>
      </c>
      <c r="AM7" t="b">
        <f t="shared" si="4"/>
        <v>0</v>
      </c>
      <c r="AN7" t="b">
        <f t="shared" si="5"/>
        <v>0</v>
      </c>
      <c r="AO7" t="b">
        <f t="shared" si="6"/>
        <v>1</v>
      </c>
      <c r="AP7" t="b">
        <f t="shared" si="7"/>
        <v>0</v>
      </c>
      <c r="AQ7" t="b">
        <f t="shared" si="8"/>
        <v>1</v>
      </c>
      <c r="AR7" t="b">
        <f t="shared" si="9"/>
        <v>0</v>
      </c>
      <c r="AS7" s="2"/>
    </row>
    <row r="8" spans="2:45" x14ac:dyDescent="0.2">
      <c r="B8" s="2">
        <v>6</v>
      </c>
      <c r="C8" t="s">
        <v>8</v>
      </c>
      <c r="D8" s="2" t="s">
        <v>90</v>
      </c>
      <c r="F8" s="3" t="str">
        <f t="shared" si="10"/>
        <v>Group box</v>
      </c>
      <c r="G8" s="2">
        <f t="shared" si="11"/>
        <v>5</v>
      </c>
      <c r="H8" s="2">
        <v>14</v>
      </c>
      <c r="I8" s="2">
        <v>305</v>
      </c>
      <c r="J8" s="2">
        <v>15</v>
      </c>
      <c r="K8" s="2">
        <v>154</v>
      </c>
      <c r="L8" s="2">
        <v>73</v>
      </c>
      <c r="M8" t="s">
        <v>39</v>
      </c>
      <c r="R8" s="9" t="b">
        <f>ECHO(FALSE)</f>
        <v>1</v>
      </c>
      <c r="T8" t="b">
        <f>CLEAR(3)</f>
        <v>1</v>
      </c>
      <c r="AA8" s="6">
        <v>12</v>
      </c>
      <c r="AB8" s="6"/>
      <c r="AC8" s="6"/>
      <c r="AD8" s="6"/>
      <c r="AE8" s="6"/>
      <c r="AF8" s="6" t="s">
        <v>40</v>
      </c>
      <c r="AG8" s="6">
        <v>1</v>
      </c>
      <c r="AI8" s="2">
        <f t="shared" si="0"/>
        <v>3</v>
      </c>
      <c r="AJ8" s="2">
        <f t="shared" si="1"/>
        <v>8</v>
      </c>
      <c r="AK8" t="str">
        <f t="shared" si="2"/>
        <v>Text edit box</v>
      </c>
      <c r="AL8" t="b">
        <f t="shared" si="3"/>
        <v>0</v>
      </c>
      <c r="AM8" t="b">
        <f t="shared" si="4"/>
        <v>1</v>
      </c>
      <c r="AN8" t="b">
        <f t="shared" si="5"/>
        <v>0</v>
      </c>
      <c r="AO8" t="b">
        <f t="shared" si="6"/>
        <v>1</v>
      </c>
      <c r="AP8" t="b">
        <f t="shared" si="7"/>
        <v>1</v>
      </c>
      <c r="AQ8" t="b">
        <f t="shared" si="8"/>
        <v>0</v>
      </c>
      <c r="AR8" t="b">
        <f t="shared" si="9"/>
        <v>1</v>
      </c>
      <c r="AS8" s="2"/>
    </row>
    <row r="9" spans="2:45" x14ac:dyDescent="0.2">
      <c r="B9" s="2">
        <v>7</v>
      </c>
      <c r="C9" t="s">
        <v>9</v>
      </c>
      <c r="D9" s="2" t="s">
        <v>90</v>
      </c>
      <c r="F9" s="3" t="str">
        <f t="shared" si="10"/>
        <v>Option button group</v>
      </c>
      <c r="G9" s="2">
        <f t="shared" si="11"/>
        <v>6</v>
      </c>
      <c r="H9" s="2">
        <v>11</v>
      </c>
      <c r="I9" s="2"/>
      <c r="J9" s="2"/>
      <c r="K9" s="2"/>
      <c r="L9" s="2"/>
      <c r="N9">
        <v>1</v>
      </c>
      <c r="R9" s="9" t="b">
        <f>SELECT(OFFSET(DialogTable,0,0,U7,7))</f>
        <v>1</v>
      </c>
      <c r="T9" t="b">
        <f>COPY(OFFSET(INDIRECT(T4),1,2,T6,7))</f>
        <v>1</v>
      </c>
      <c r="AA9" s="6">
        <v>12</v>
      </c>
      <c r="AB9" s="6"/>
      <c r="AC9" s="6"/>
      <c r="AD9" s="6"/>
      <c r="AE9" s="6"/>
      <c r="AF9" s="6" t="s">
        <v>41</v>
      </c>
      <c r="AG9" s="6"/>
      <c r="AI9" s="2">
        <f t="shared" si="0"/>
        <v>3</v>
      </c>
      <c r="AJ9" s="2">
        <f t="shared" si="1"/>
        <v>8</v>
      </c>
      <c r="AK9" t="str">
        <f t="shared" si="2"/>
        <v>Integer edit box</v>
      </c>
      <c r="AL9" t="b">
        <f t="shared" si="3"/>
        <v>0</v>
      </c>
      <c r="AM9" t="b">
        <f t="shared" si="4"/>
        <v>1</v>
      </c>
      <c r="AN9" t="b">
        <f t="shared" si="5"/>
        <v>0</v>
      </c>
      <c r="AO9" t="b">
        <f t="shared" si="6"/>
        <v>1</v>
      </c>
      <c r="AP9" t="b">
        <f t="shared" si="7"/>
        <v>1</v>
      </c>
      <c r="AQ9" t="b">
        <f t="shared" si="8"/>
        <v>0</v>
      </c>
      <c r="AR9" t="b">
        <f t="shared" si="9"/>
        <v>1</v>
      </c>
      <c r="AS9" s="2"/>
    </row>
    <row r="10" spans="2:45" x14ac:dyDescent="0.2">
      <c r="B10" s="2">
        <v>8</v>
      </c>
      <c r="C10" t="s">
        <v>10</v>
      </c>
      <c r="D10" s="2" t="s">
        <v>90</v>
      </c>
      <c r="F10" s="3" t="str">
        <f t="shared" si="10"/>
        <v>Option button</v>
      </c>
      <c r="G10" s="2">
        <f t="shared" si="11"/>
        <v>7</v>
      </c>
      <c r="H10" s="2">
        <v>12</v>
      </c>
      <c r="I10" s="2"/>
      <c r="J10" s="2"/>
      <c r="K10" s="2"/>
      <c r="L10" s="2"/>
      <c r="M10" t="s">
        <v>40</v>
      </c>
      <c r="N10">
        <v>1</v>
      </c>
      <c r="R10" t="b">
        <f>CLEAR(3)</f>
        <v>1</v>
      </c>
      <c r="T10" t="b">
        <f>SELECT(DialogTable)</f>
        <v>1</v>
      </c>
      <c r="AA10" s="6">
        <v>5</v>
      </c>
      <c r="AB10" s="6">
        <v>19</v>
      </c>
      <c r="AC10" s="6">
        <v>50</v>
      </c>
      <c r="AD10" s="6"/>
      <c r="AE10" s="6"/>
      <c r="AF10" s="6" t="s">
        <v>42</v>
      </c>
      <c r="AG10" s="6"/>
      <c r="AI10" s="2">
        <f t="shared" si="0"/>
        <v>3</v>
      </c>
      <c r="AJ10" s="2">
        <f t="shared" si="1"/>
        <v>8</v>
      </c>
      <c r="AK10" t="str">
        <f t="shared" si="2"/>
        <v>Number edit box</v>
      </c>
      <c r="AL10" t="b">
        <f t="shared" si="3"/>
        <v>0</v>
      </c>
      <c r="AM10" t="b">
        <f t="shared" si="4"/>
        <v>1</v>
      </c>
      <c r="AN10" t="b">
        <f t="shared" si="5"/>
        <v>0</v>
      </c>
      <c r="AO10" t="b">
        <f t="shared" si="6"/>
        <v>1</v>
      </c>
      <c r="AP10" t="b">
        <f t="shared" si="7"/>
        <v>1</v>
      </c>
      <c r="AQ10" t="b">
        <f t="shared" si="8"/>
        <v>0</v>
      </c>
      <c r="AR10" t="b">
        <f t="shared" si="9"/>
        <v>1</v>
      </c>
      <c r="AS10" s="2"/>
    </row>
    <row r="11" spans="2:45" x14ac:dyDescent="0.2">
      <c r="B11" s="2">
        <v>9</v>
      </c>
      <c r="C11" t="s">
        <v>11</v>
      </c>
      <c r="D11" s="2" t="s">
        <v>90</v>
      </c>
      <c r="F11" s="3" t="str">
        <f t="shared" si="10"/>
        <v>Option button</v>
      </c>
      <c r="G11" s="2">
        <f t="shared" si="11"/>
        <v>8</v>
      </c>
      <c r="H11" s="2">
        <v>12</v>
      </c>
      <c r="I11" s="2"/>
      <c r="J11" s="2"/>
      <c r="K11" s="2"/>
      <c r="L11" s="2"/>
      <c r="M11" t="s">
        <v>41</v>
      </c>
      <c r="R11" t="b">
        <f>SELECT(A1)</f>
        <v>1</v>
      </c>
      <c r="T11" t="b">
        <f>PASTE.SPECIAL(3,1,FALSE,FALSE)</f>
        <v>1</v>
      </c>
      <c r="AA11" s="6">
        <v>10</v>
      </c>
      <c r="AB11" s="6">
        <v>19</v>
      </c>
      <c r="AC11" s="6">
        <v>67</v>
      </c>
      <c r="AD11" s="6">
        <v>253</v>
      </c>
      <c r="AE11" s="6"/>
      <c r="AF11" s="6"/>
      <c r="AG11" s="6"/>
      <c r="AI11" s="2">
        <f t="shared" si="0"/>
        <v>3</v>
      </c>
      <c r="AJ11" s="2">
        <f t="shared" si="1"/>
        <v>8</v>
      </c>
      <c r="AK11" t="str">
        <f t="shared" si="2"/>
        <v>Formula edit box</v>
      </c>
      <c r="AL11" t="b">
        <f t="shared" si="3"/>
        <v>0</v>
      </c>
      <c r="AM11" t="b">
        <f t="shared" si="4"/>
        <v>1</v>
      </c>
      <c r="AN11" t="b">
        <f t="shared" si="5"/>
        <v>0</v>
      </c>
      <c r="AO11" t="b">
        <f t="shared" si="6"/>
        <v>1</v>
      </c>
      <c r="AP11" t="b">
        <f t="shared" si="7"/>
        <v>1</v>
      </c>
      <c r="AQ11" t="b">
        <f t="shared" si="8"/>
        <v>0</v>
      </c>
      <c r="AR11" t="b">
        <f t="shared" si="9"/>
        <v>1</v>
      </c>
      <c r="AS11" s="2"/>
    </row>
    <row r="12" spans="2:45" x14ac:dyDescent="0.2">
      <c r="B12" s="2">
        <v>10</v>
      </c>
      <c r="C12" t="s">
        <v>12</v>
      </c>
      <c r="D12" s="2" t="s">
        <v>90</v>
      </c>
      <c r="F12" s="3" t="str">
        <f t="shared" si="10"/>
        <v>Static text</v>
      </c>
      <c r="G12" s="2">
        <f t="shared" si="11"/>
        <v>9</v>
      </c>
      <c r="H12" s="2">
        <v>5</v>
      </c>
      <c r="I12" s="2">
        <v>19</v>
      </c>
      <c r="J12" s="2">
        <v>50</v>
      </c>
      <c r="K12" s="2"/>
      <c r="L12" s="2"/>
      <c r="M12" t="s">
        <v>42</v>
      </c>
      <c r="R12" t="b">
        <f>HALT()</f>
        <v>1</v>
      </c>
      <c r="T12" s="2">
        <f>1+COUNT(OFFSET(DialogTable,0,0,U7,1))</f>
        <v>16</v>
      </c>
      <c r="AA12" s="6">
        <v>14</v>
      </c>
      <c r="AB12" s="6">
        <v>209</v>
      </c>
      <c r="AC12" s="6">
        <v>93</v>
      </c>
      <c r="AD12" s="6">
        <v>250</v>
      </c>
      <c r="AE12" s="6">
        <v>63</v>
      </c>
      <c r="AF12" s="6" t="s">
        <v>43</v>
      </c>
      <c r="AG12" s="6"/>
      <c r="AI12" s="2">
        <f t="shared" si="0"/>
        <v>3</v>
      </c>
      <c r="AJ12" s="2">
        <f t="shared" si="1"/>
        <v>8</v>
      </c>
      <c r="AK12" t="str">
        <f t="shared" si="2"/>
        <v>Reference edit box</v>
      </c>
      <c r="AL12" t="b">
        <f t="shared" si="3"/>
        <v>0</v>
      </c>
      <c r="AM12" t="b">
        <f t="shared" si="4"/>
        <v>1</v>
      </c>
      <c r="AN12" t="b">
        <f t="shared" si="5"/>
        <v>0</v>
      </c>
      <c r="AO12" t="b">
        <f t="shared" si="6"/>
        <v>1</v>
      </c>
      <c r="AP12" t="b">
        <f t="shared" si="7"/>
        <v>1</v>
      </c>
      <c r="AQ12" t="b">
        <f t="shared" si="8"/>
        <v>0</v>
      </c>
      <c r="AR12" t="b">
        <f t="shared" si="9"/>
        <v>1</v>
      </c>
      <c r="AS12" s="2"/>
    </row>
    <row r="13" spans="2:45" x14ac:dyDescent="0.2">
      <c r="B13" s="12">
        <v>11</v>
      </c>
      <c r="C13" s="13" t="s">
        <v>13</v>
      </c>
      <c r="D13" s="2" t="s">
        <v>91</v>
      </c>
      <c r="F13" s="3" t="str">
        <f t="shared" si="10"/>
        <v>Reference edit box</v>
      </c>
      <c r="G13" s="2">
        <f t="shared" si="11"/>
        <v>10</v>
      </c>
      <c r="H13" s="2">
        <v>10</v>
      </c>
      <c r="I13" s="2">
        <v>19</v>
      </c>
      <c r="J13" s="2">
        <v>67</v>
      </c>
      <c r="K13" s="2">
        <v>253</v>
      </c>
      <c r="L13" s="2"/>
      <c r="T13" s="7" t="b">
        <f>DIALOG.BOX(OFFSET(DialogTable,0,0,T12,7))</f>
        <v>0</v>
      </c>
      <c r="AA13" s="6">
        <v>13</v>
      </c>
      <c r="AB13" s="6"/>
      <c r="AC13" s="6"/>
      <c r="AD13" s="6"/>
      <c r="AE13" s="6"/>
      <c r="AF13" s="6" t="s">
        <v>44</v>
      </c>
      <c r="AG13" s="6">
        <v>1</v>
      </c>
      <c r="AI13" s="2">
        <f t="shared" si="0"/>
        <v>3</v>
      </c>
      <c r="AJ13" s="2">
        <f t="shared" si="1"/>
        <v>9</v>
      </c>
      <c r="AK13" t="str">
        <f t="shared" si="2"/>
        <v>Option button group</v>
      </c>
      <c r="AL13" t="b">
        <f t="shared" si="3"/>
        <v>1</v>
      </c>
      <c r="AM13" t="b">
        <f t="shared" si="4"/>
        <v>0</v>
      </c>
      <c r="AN13" t="b">
        <f t="shared" si="5"/>
        <v>1</v>
      </c>
      <c r="AO13" t="b">
        <f t="shared" si="6"/>
        <v>1</v>
      </c>
      <c r="AP13" t="b">
        <f t="shared" si="7"/>
        <v>1</v>
      </c>
      <c r="AQ13" t="b">
        <f t="shared" si="8"/>
        <v>1</v>
      </c>
      <c r="AR13" t="b">
        <f t="shared" si="9"/>
        <v>1</v>
      </c>
      <c r="AS13" s="2"/>
    </row>
    <row r="14" spans="2:45" x14ac:dyDescent="0.2">
      <c r="B14" s="12">
        <v>12</v>
      </c>
      <c r="C14" s="13" t="s">
        <v>14</v>
      </c>
      <c r="D14" s="2" t="s">
        <v>92</v>
      </c>
      <c r="F14" s="3" t="str">
        <f t="shared" si="10"/>
        <v>Group box</v>
      </c>
      <c r="G14" s="2">
        <f t="shared" si="11"/>
        <v>11</v>
      </c>
      <c r="H14" s="2">
        <v>14</v>
      </c>
      <c r="I14" s="2">
        <v>209</v>
      </c>
      <c r="J14" s="2">
        <v>93</v>
      </c>
      <c r="K14" s="2">
        <v>250</v>
      </c>
      <c r="L14" s="2">
        <v>63</v>
      </c>
      <c r="M14" t="s">
        <v>43</v>
      </c>
      <c r="O14" s="4" t="s">
        <v>48</v>
      </c>
      <c r="T14" t="b">
        <f>COPY(T13,C32)</f>
        <v>1</v>
      </c>
      <c r="AA14" s="6">
        <v>13</v>
      </c>
      <c r="AB14" s="6"/>
      <c r="AC14" s="6"/>
      <c r="AD14" s="6"/>
      <c r="AE14" s="6"/>
      <c r="AF14" s="6" t="s">
        <v>45</v>
      </c>
      <c r="AG14" s="6">
        <v>1</v>
      </c>
      <c r="AI14" s="2">
        <f t="shared" si="0"/>
        <v>3</v>
      </c>
      <c r="AJ14" s="2">
        <f t="shared" si="1"/>
        <v>9</v>
      </c>
      <c r="AK14" t="str">
        <f t="shared" si="2"/>
        <v>Option button</v>
      </c>
      <c r="AL14" t="b">
        <f t="shared" si="3"/>
        <v>1</v>
      </c>
      <c r="AM14" t="b">
        <f t="shared" si="4"/>
        <v>0</v>
      </c>
      <c r="AN14" t="b">
        <f t="shared" si="5"/>
        <v>1</v>
      </c>
      <c r="AO14" t="b">
        <f t="shared" si="6"/>
        <v>1</v>
      </c>
      <c r="AP14" t="b">
        <f t="shared" si="7"/>
        <v>1</v>
      </c>
      <c r="AQ14" t="b">
        <f t="shared" si="8"/>
        <v>1</v>
      </c>
      <c r="AR14" t="b">
        <f t="shared" si="9"/>
        <v>0</v>
      </c>
      <c r="AS14" s="2"/>
    </row>
    <row r="15" spans="2:45" x14ac:dyDescent="0.2">
      <c r="B15" s="2">
        <v>13</v>
      </c>
      <c r="C15" t="s">
        <v>15</v>
      </c>
      <c r="D15" s="2" t="s">
        <v>93</v>
      </c>
      <c r="F15" s="3" t="str">
        <f t="shared" si="10"/>
        <v>Check box</v>
      </c>
      <c r="G15" s="2">
        <f t="shared" si="11"/>
        <v>12</v>
      </c>
      <c r="H15" s="2">
        <v>13</v>
      </c>
      <c r="I15" s="2"/>
      <c r="J15" s="2"/>
      <c r="K15" s="2"/>
      <c r="L15" s="2"/>
      <c r="M15" t="s">
        <v>44</v>
      </c>
      <c r="N15">
        <v>1</v>
      </c>
      <c r="O15" s="4" t="s">
        <v>49</v>
      </c>
      <c r="T15" t="b">
        <f>SELECT(C32)</f>
        <v>1</v>
      </c>
      <c r="AA15" s="6">
        <v>13</v>
      </c>
      <c r="AB15" s="6"/>
      <c r="AC15" s="6"/>
      <c r="AD15" s="6"/>
      <c r="AE15" s="6"/>
      <c r="AF15" s="6" t="s">
        <v>46</v>
      </c>
      <c r="AG15" s="6">
        <v>0</v>
      </c>
      <c r="AI15" s="2">
        <f t="shared" si="0"/>
        <v>4</v>
      </c>
      <c r="AJ15" s="2">
        <f t="shared" si="1"/>
        <v>10</v>
      </c>
      <c r="AK15" t="str">
        <f t="shared" si="2"/>
        <v>Check box</v>
      </c>
      <c r="AL15" t="b">
        <f t="shared" si="3"/>
        <v>1</v>
      </c>
      <c r="AM15" t="b">
        <f t="shared" si="4"/>
        <v>1</v>
      </c>
      <c r="AN15" t="b">
        <f t="shared" si="5"/>
        <v>1</v>
      </c>
      <c r="AO15" t="b">
        <f t="shared" si="6"/>
        <v>1</v>
      </c>
      <c r="AP15" t="b">
        <f t="shared" si="7"/>
        <v>1</v>
      </c>
      <c r="AQ15" t="b">
        <f t="shared" si="8"/>
        <v>1</v>
      </c>
      <c r="AR15" t="b">
        <f t="shared" si="9"/>
        <v>1</v>
      </c>
      <c r="AS15" s="2"/>
    </row>
    <row r="16" spans="2:45" x14ac:dyDescent="0.2">
      <c r="B16" s="2">
        <v>14</v>
      </c>
      <c r="C16" t="s">
        <v>16</v>
      </c>
      <c r="D16" s="2" t="s">
        <v>85</v>
      </c>
      <c r="F16" s="3" t="str">
        <f t="shared" si="10"/>
        <v>Check box</v>
      </c>
      <c r="G16" s="2">
        <f t="shared" si="11"/>
        <v>13</v>
      </c>
      <c r="H16" s="2">
        <v>13</v>
      </c>
      <c r="I16" s="2"/>
      <c r="J16" s="2"/>
      <c r="K16" s="2"/>
      <c r="L16" s="2"/>
      <c r="M16" t="s">
        <v>45</v>
      </c>
      <c r="N16">
        <v>1</v>
      </c>
      <c r="O16" s="4" t="s">
        <v>50</v>
      </c>
      <c r="T16" t="b">
        <f>HALT()</f>
        <v>1</v>
      </c>
      <c r="AA16" s="6">
        <v>15</v>
      </c>
      <c r="AB16" s="6">
        <v>19</v>
      </c>
      <c r="AC16" s="6">
        <v>99</v>
      </c>
      <c r="AD16" s="6">
        <v>160</v>
      </c>
      <c r="AE16" s="6">
        <v>96</v>
      </c>
      <c r="AF16" s="6" t="s">
        <v>47</v>
      </c>
      <c r="AG16" s="6">
        <v>1</v>
      </c>
      <c r="AI16" s="2">
        <f t="shared" si="0"/>
        <v>3</v>
      </c>
      <c r="AJ16" s="2">
        <f t="shared" si="1"/>
        <v>7</v>
      </c>
      <c r="AK16" t="str">
        <f t="shared" si="2"/>
        <v>Group box</v>
      </c>
      <c r="AL16" t="b">
        <f t="shared" si="3"/>
        <v>1</v>
      </c>
      <c r="AM16" t="b">
        <f t="shared" si="4"/>
        <v>0</v>
      </c>
      <c r="AN16" t="b">
        <f t="shared" si="5"/>
        <v>0</v>
      </c>
      <c r="AO16" t="b">
        <f t="shared" si="6"/>
        <v>1</v>
      </c>
      <c r="AP16" t="b">
        <f t="shared" si="7"/>
        <v>0</v>
      </c>
      <c r="AQ16" t="b">
        <f t="shared" si="8"/>
        <v>1</v>
      </c>
      <c r="AR16" t="b">
        <f t="shared" si="9"/>
        <v>0</v>
      </c>
      <c r="AS16" s="2"/>
    </row>
    <row r="17" spans="2:45" x14ac:dyDescent="0.2">
      <c r="B17" s="2">
        <v>15</v>
      </c>
      <c r="C17" t="s">
        <v>17</v>
      </c>
      <c r="D17" s="2" t="s">
        <v>94</v>
      </c>
      <c r="F17" s="3" t="str">
        <f t="shared" si="10"/>
        <v>Check box</v>
      </c>
      <c r="G17" s="2">
        <f t="shared" si="11"/>
        <v>14</v>
      </c>
      <c r="H17" s="2">
        <v>13</v>
      </c>
      <c r="I17" s="2"/>
      <c r="J17" s="2"/>
      <c r="K17" s="2"/>
      <c r="L17" s="2"/>
      <c r="M17" t="s">
        <v>46</v>
      </c>
      <c r="N17">
        <v>0</v>
      </c>
      <c r="O17" s="4" t="s">
        <v>51</v>
      </c>
      <c r="AA17" s="6"/>
      <c r="AB17" s="6"/>
      <c r="AC17" s="6"/>
      <c r="AD17" s="6"/>
      <c r="AE17" s="6"/>
      <c r="AF17" s="6"/>
      <c r="AG17" s="6"/>
      <c r="AI17" s="2">
        <f t="shared" si="0"/>
        <v>2</v>
      </c>
      <c r="AJ17" s="2">
        <f t="shared" si="1"/>
        <v>8</v>
      </c>
      <c r="AK17" t="str">
        <f t="shared" si="2"/>
        <v>List box</v>
      </c>
      <c r="AL17" t="b">
        <f t="shared" si="3"/>
        <v>0</v>
      </c>
      <c r="AM17" t="b">
        <f t="shared" si="4"/>
        <v>0</v>
      </c>
      <c r="AN17" t="b">
        <f t="shared" si="5"/>
        <v>1</v>
      </c>
      <c r="AO17" t="b">
        <f t="shared" si="6"/>
        <v>1</v>
      </c>
      <c r="AP17" t="b">
        <f t="shared" si="7"/>
        <v>1</v>
      </c>
      <c r="AQ17" t="b">
        <f t="shared" si="8"/>
        <v>1</v>
      </c>
      <c r="AR17" t="b">
        <f t="shared" si="9"/>
        <v>1</v>
      </c>
      <c r="AS17" s="2"/>
    </row>
    <row r="18" spans="2:45" x14ac:dyDescent="0.2">
      <c r="B18" s="2">
        <v>16</v>
      </c>
      <c r="C18" t="s">
        <v>18</v>
      </c>
      <c r="D18" s="2" t="s">
        <v>94</v>
      </c>
      <c r="F18" s="3" t="str">
        <f t="shared" si="10"/>
        <v>List box</v>
      </c>
      <c r="G18" s="2">
        <f t="shared" si="11"/>
        <v>15</v>
      </c>
      <c r="H18" s="2">
        <v>15</v>
      </c>
      <c r="I18" s="2">
        <v>19</v>
      </c>
      <c r="J18" s="2">
        <v>99</v>
      </c>
      <c r="K18" s="2">
        <v>160</v>
      </c>
      <c r="L18" s="2">
        <v>96</v>
      </c>
      <c r="M18" t="s">
        <v>47</v>
      </c>
      <c r="N18">
        <v>1</v>
      </c>
      <c r="O18" s="4" t="s">
        <v>52</v>
      </c>
      <c r="AA18" s="6"/>
      <c r="AB18" s="6"/>
      <c r="AC18" s="6"/>
      <c r="AD18" s="6"/>
      <c r="AE18" s="6"/>
      <c r="AF18" s="6"/>
      <c r="AG18" s="6"/>
      <c r="AI18" s="2">
        <f t="shared" si="0"/>
        <v>2</v>
      </c>
      <c r="AJ18" s="2">
        <f t="shared" si="1"/>
        <v>8</v>
      </c>
      <c r="AK18" t="str">
        <f t="shared" si="2"/>
        <v>Linked list box</v>
      </c>
      <c r="AL18" t="b">
        <f t="shared" si="3"/>
        <v>0</v>
      </c>
      <c r="AM18" t="b">
        <f t="shared" si="4"/>
        <v>0</v>
      </c>
      <c r="AN18" t="b">
        <f t="shared" si="5"/>
        <v>1</v>
      </c>
      <c r="AO18" t="b">
        <f t="shared" si="6"/>
        <v>1</v>
      </c>
      <c r="AP18" t="b">
        <f t="shared" si="7"/>
        <v>1</v>
      </c>
      <c r="AQ18" t="b">
        <f t="shared" si="8"/>
        <v>1</v>
      </c>
      <c r="AR18" t="b">
        <f t="shared" si="9"/>
        <v>1</v>
      </c>
      <c r="AS18" s="2"/>
    </row>
    <row r="19" spans="2:45" x14ac:dyDescent="0.2">
      <c r="B19" s="2">
        <v>17</v>
      </c>
      <c r="C19" t="s">
        <v>19</v>
      </c>
      <c r="D19" s="2" t="s">
        <v>86</v>
      </c>
      <c r="F19" s="3" t="b">
        <f>GOTO(G2)</f>
        <v>1</v>
      </c>
      <c r="G19" s="3" t="b">
        <f t="shared" ref="G19:N19" si="12">GOTO(H2)</f>
        <v>1</v>
      </c>
      <c r="H19" s="3" t="b">
        <f t="shared" si="12"/>
        <v>1</v>
      </c>
      <c r="I19" s="3" t="b">
        <f t="shared" si="12"/>
        <v>1</v>
      </c>
      <c r="J19" s="3" t="b">
        <f t="shared" si="12"/>
        <v>1</v>
      </c>
      <c r="K19" s="3" t="b">
        <f t="shared" si="12"/>
        <v>1</v>
      </c>
      <c r="L19" s="3" t="b">
        <f t="shared" si="12"/>
        <v>1</v>
      </c>
      <c r="M19" s="3" t="b">
        <f t="shared" si="12"/>
        <v>1</v>
      </c>
      <c r="N19" s="3" t="b">
        <f t="shared" si="12"/>
        <v>1</v>
      </c>
      <c r="O19" s="5" t="b">
        <f>GOTO(Main.DlgRows)</f>
        <v>1</v>
      </c>
      <c r="AA19" s="6"/>
      <c r="AB19" s="6"/>
      <c r="AC19" s="6"/>
      <c r="AD19" s="6"/>
      <c r="AE19" s="6"/>
      <c r="AF19" s="6"/>
      <c r="AG19" s="6"/>
      <c r="AI19" s="2">
        <f t="shared" si="0"/>
        <v>2</v>
      </c>
      <c r="AJ19" s="2">
        <f t="shared" si="1"/>
        <v>4</v>
      </c>
      <c r="AK19" t="str">
        <f t="shared" si="2"/>
        <v>Icons</v>
      </c>
      <c r="AL19" t="b">
        <f t="shared" si="3"/>
        <v>0</v>
      </c>
      <c r="AM19" t="b">
        <f t="shared" si="4"/>
        <v>0</v>
      </c>
      <c r="AN19" t="b">
        <f t="shared" si="5"/>
        <v>0</v>
      </c>
      <c r="AO19" t="b">
        <f t="shared" si="6"/>
        <v>0</v>
      </c>
      <c r="AP19" t="b">
        <f t="shared" si="7"/>
        <v>0</v>
      </c>
      <c r="AQ19" t="b">
        <f t="shared" si="8"/>
        <v>1</v>
      </c>
      <c r="AR19" t="b">
        <f t="shared" si="9"/>
        <v>0</v>
      </c>
      <c r="AS19" s="2"/>
    </row>
    <row r="20" spans="2:45" x14ac:dyDescent="0.2">
      <c r="B20" s="2">
        <v>18</v>
      </c>
      <c r="C20" t="s">
        <v>25</v>
      </c>
      <c r="D20" s="2" t="s">
        <v>95</v>
      </c>
      <c r="AA20" s="6"/>
      <c r="AB20" s="6"/>
      <c r="AC20" s="6"/>
      <c r="AD20" s="6"/>
      <c r="AE20" s="6"/>
      <c r="AF20" s="6"/>
      <c r="AG20" s="6"/>
      <c r="AI20" s="2">
        <f t="shared" si="0"/>
        <v>2</v>
      </c>
      <c r="AJ20" s="2">
        <f t="shared" si="1"/>
        <v>8</v>
      </c>
      <c r="AK20" t="str">
        <f t="shared" si="2"/>
        <v>Linked file list box</v>
      </c>
      <c r="AL20" t="b">
        <f t="shared" si="3"/>
        <v>0</v>
      </c>
      <c r="AM20" t="b">
        <f t="shared" si="4"/>
        <v>0</v>
      </c>
      <c r="AN20" t="b">
        <f t="shared" si="5"/>
        <v>1</v>
      </c>
      <c r="AO20" t="b">
        <f t="shared" si="6"/>
        <v>1</v>
      </c>
      <c r="AP20" t="b">
        <f t="shared" si="7"/>
        <v>1</v>
      </c>
      <c r="AQ20" t="b">
        <f t="shared" si="8"/>
        <v>0</v>
      </c>
      <c r="AR20" t="b">
        <f t="shared" si="9"/>
        <v>0</v>
      </c>
      <c r="AS20" s="2"/>
    </row>
    <row r="21" spans="2:45" x14ac:dyDescent="0.2">
      <c r="B21" s="2">
        <v>19</v>
      </c>
      <c r="C21" t="s">
        <v>26</v>
      </c>
      <c r="D21" s="2" t="s">
        <v>95</v>
      </c>
      <c r="AA21" s="6"/>
      <c r="AB21" s="6"/>
      <c r="AC21" s="6"/>
      <c r="AD21" s="6"/>
      <c r="AE21" s="6"/>
      <c r="AF21" s="6"/>
      <c r="AG21" s="6"/>
      <c r="AI21" s="2">
        <f t="shared" si="0"/>
        <v>2</v>
      </c>
      <c r="AJ21" s="2">
        <f t="shared" si="1"/>
        <v>8</v>
      </c>
      <c r="AK21" t="str">
        <f t="shared" si="2"/>
        <v>Linked drive and directory box</v>
      </c>
      <c r="AL21" t="b">
        <f t="shared" si="3"/>
        <v>0</v>
      </c>
      <c r="AM21" t="b">
        <f t="shared" si="4"/>
        <v>0</v>
      </c>
      <c r="AN21" t="b">
        <f t="shared" si="5"/>
        <v>1</v>
      </c>
      <c r="AO21" t="b">
        <f t="shared" si="6"/>
        <v>1</v>
      </c>
      <c r="AP21" t="b">
        <f t="shared" si="7"/>
        <v>1</v>
      </c>
      <c r="AQ21" t="b">
        <f t="shared" si="8"/>
        <v>0</v>
      </c>
      <c r="AR21" t="b">
        <f t="shared" si="9"/>
        <v>0</v>
      </c>
      <c r="AS21" s="2"/>
    </row>
    <row r="22" spans="2:45" x14ac:dyDescent="0.2">
      <c r="B22" s="2">
        <v>20</v>
      </c>
      <c r="C22" t="s">
        <v>20</v>
      </c>
      <c r="D22" s="2" t="s">
        <v>87</v>
      </c>
      <c r="F22" s="2">
        <f>COUNT(H22:H28)</f>
        <v>4</v>
      </c>
      <c r="G22" s="1" t="s">
        <v>33</v>
      </c>
      <c r="H22" s="1" t="s">
        <v>0</v>
      </c>
      <c r="I22" s="1" t="s">
        <v>27</v>
      </c>
      <c r="J22" s="1" t="s">
        <v>28</v>
      </c>
      <c r="K22" s="1" t="s">
        <v>29</v>
      </c>
      <c r="L22" s="1" t="s">
        <v>30</v>
      </c>
      <c r="M22" s="1" t="s">
        <v>31</v>
      </c>
      <c r="N22" s="1" t="s">
        <v>32</v>
      </c>
      <c r="AA22" s="6"/>
      <c r="AB22" s="6"/>
      <c r="AC22" s="6"/>
      <c r="AD22" s="6"/>
      <c r="AE22" s="6"/>
      <c r="AF22" s="6"/>
      <c r="AG22" s="6"/>
      <c r="AI22" s="2">
        <f t="shared" si="0"/>
        <v>2</v>
      </c>
      <c r="AJ22" s="2">
        <f t="shared" si="1"/>
        <v>6</v>
      </c>
      <c r="AK22" t="str">
        <f t="shared" si="2"/>
        <v>Directory text box</v>
      </c>
      <c r="AL22" t="b">
        <f t="shared" si="3"/>
        <v>0</v>
      </c>
      <c r="AM22" t="b">
        <f t="shared" si="4"/>
        <v>0</v>
      </c>
      <c r="AN22" t="b">
        <f t="shared" si="5"/>
        <v>0</v>
      </c>
      <c r="AO22" t="b">
        <f t="shared" si="6"/>
        <v>1</v>
      </c>
      <c r="AP22" t="b">
        <f t="shared" si="7"/>
        <v>0</v>
      </c>
      <c r="AQ22" t="b">
        <f t="shared" si="8"/>
        <v>0</v>
      </c>
      <c r="AR22" t="b">
        <f t="shared" si="9"/>
        <v>0</v>
      </c>
      <c r="AS22" s="2"/>
    </row>
    <row r="23" spans="2:45" x14ac:dyDescent="0.2">
      <c r="B23" s="2">
        <v>21</v>
      </c>
      <c r="C23" t="s">
        <v>21</v>
      </c>
      <c r="D23" s="2" t="s">
        <v>94</v>
      </c>
      <c r="F23" s="3" t="s">
        <v>34</v>
      </c>
      <c r="G23" s="2">
        <v>0</v>
      </c>
      <c r="H23" s="2"/>
      <c r="I23" s="2"/>
      <c r="J23" s="2"/>
      <c r="K23" s="2">
        <v>200</v>
      </c>
      <c r="L23" s="2"/>
      <c r="M23" t="s">
        <v>19</v>
      </c>
      <c r="AA23" s="6"/>
      <c r="AB23" s="6"/>
      <c r="AC23" s="6"/>
      <c r="AD23" s="6"/>
      <c r="AE23" s="6"/>
      <c r="AF23" s="6"/>
      <c r="AG23" s="6"/>
      <c r="AI23" s="2">
        <f t="shared" si="0"/>
        <v>2</v>
      </c>
      <c r="AJ23" s="2">
        <f t="shared" si="1"/>
        <v>8</v>
      </c>
      <c r="AK23" t="str">
        <f t="shared" si="2"/>
        <v>Drop-down list box</v>
      </c>
      <c r="AL23" t="b">
        <f t="shared" si="3"/>
        <v>0</v>
      </c>
      <c r="AM23" t="b">
        <f t="shared" si="4"/>
        <v>0</v>
      </c>
      <c r="AN23" t="b">
        <f t="shared" si="5"/>
        <v>1</v>
      </c>
      <c r="AO23" t="b">
        <f t="shared" si="6"/>
        <v>1</v>
      </c>
      <c r="AP23" t="b">
        <f t="shared" si="7"/>
        <v>1</v>
      </c>
      <c r="AQ23" t="b">
        <f t="shared" si="8"/>
        <v>1</v>
      </c>
      <c r="AR23" t="b">
        <f t="shared" si="9"/>
        <v>1</v>
      </c>
      <c r="AS23" s="2"/>
    </row>
    <row r="24" spans="2:45" x14ac:dyDescent="0.2">
      <c r="B24" s="2">
        <v>22</v>
      </c>
      <c r="C24" t="s">
        <v>22</v>
      </c>
      <c r="D24" s="2" t="s">
        <v>94</v>
      </c>
      <c r="F24" s="3" t="str">
        <f>_xlfn.XLOOKUP(MOD(H24,100),$B$3:$B$26,$C$3:$C$26)</f>
        <v>Icons</v>
      </c>
      <c r="G24" s="2">
        <f>G23+1</f>
        <v>1</v>
      </c>
      <c r="H24" s="2">
        <v>17</v>
      </c>
      <c r="I24" s="2">
        <v>20</v>
      </c>
      <c r="J24" s="2">
        <v>10</v>
      </c>
      <c r="K24" s="2"/>
      <c r="L24" s="2"/>
      <c r="M24">
        <v>1</v>
      </c>
      <c r="AA24" s="6"/>
      <c r="AB24" s="6"/>
      <c r="AC24" s="6"/>
      <c r="AD24" s="6"/>
      <c r="AE24" s="6"/>
      <c r="AF24" s="6"/>
      <c r="AG24" s="6"/>
      <c r="AI24" s="2">
        <f t="shared" si="0"/>
        <v>2</v>
      </c>
      <c r="AJ24" s="2">
        <f t="shared" si="1"/>
        <v>8</v>
      </c>
      <c r="AK24" t="str">
        <f t="shared" si="2"/>
        <v>Drop-down combination edit/list box</v>
      </c>
      <c r="AL24" t="b">
        <f t="shared" si="3"/>
        <v>0</v>
      </c>
      <c r="AM24" t="b">
        <f t="shared" si="4"/>
        <v>0</v>
      </c>
      <c r="AN24" t="b">
        <f t="shared" si="5"/>
        <v>1</v>
      </c>
      <c r="AO24" t="b">
        <f t="shared" si="6"/>
        <v>1</v>
      </c>
      <c r="AP24" t="b">
        <f t="shared" si="7"/>
        <v>1</v>
      </c>
      <c r="AQ24" t="b">
        <f t="shared" si="8"/>
        <v>1</v>
      </c>
      <c r="AR24" t="b">
        <f t="shared" si="9"/>
        <v>1</v>
      </c>
      <c r="AS24" s="2"/>
    </row>
    <row r="25" spans="2:45" x14ac:dyDescent="0.2">
      <c r="B25" s="2">
        <v>23</v>
      </c>
      <c r="C25" t="s">
        <v>23</v>
      </c>
      <c r="D25" s="2" t="s">
        <v>88</v>
      </c>
      <c r="F25" s="3" t="str">
        <f>_xlfn.XLOOKUP(MOD(H25,100),$B$3:$B$26,$C$3:$C$26)</f>
        <v>Icons</v>
      </c>
      <c r="G25" s="2">
        <f t="shared" ref="G25:G27" si="13">G24+1</f>
        <v>2</v>
      </c>
      <c r="H25" s="2">
        <v>17</v>
      </c>
      <c r="I25" s="2">
        <v>80</v>
      </c>
      <c r="J25" s="2"/>
      <c r="K25" s="2"/>
      <c r="L25" s="2"/>
      <c r="M25">
        <v>2</v>
      </c>
      <c r="AA25" s="6"/>
      <c r="AB25" s="6"/>
      <c r="AC25" s="6"/>
      <c r="AD25" s="6"/>
      <c r="AE25" s="6"/>
      <c r="AF25" s="6"/>
      <c r="AG25" s="6"/>
      <c r="AI25" s="2">
        <f t="shared" ref="AI25:AI26" si="14">FIND("|",D25)</f>
        <v>2</v>
      </c>
      <c r="AJ25" s="2">
        <f t="shared" si="1"/>
        <v>4</v>
      </c>
      <c r="AK25" t="str">
        <f t="shared" ref="AK25:AK26" si="15">C25</f>
        <v>Picture button</v>
      </c>
      <c r="AL25" t="b">
        <f t="shared" si="3"/>
        <v>0</v>
      </c>
      <c r="AM25" t="b">
        <f t="shared" si="4"/>
        <v>0</v>
      </c>
      <c r="AN25" t="b">
        <f t="shared" si="5"/>
        <v>0</v>
      </c>
      <c r="AO25" t="b">
        <f t="shared" si="6"/>
        <v>0</v>
      </c>
      <c r="AP25" t="b">
        <f t="shared" si="7"/>
        <v>0</v>
      </c>
      <c r="AQ25" t="b">
        <f t="shared" si="8"/>
        <v>0</v>
      </c>
      <c r="AR25" t="b">
        <f t="shared" si="9"/>
        <v>0</v>
      </c>
      <c r="AS25" s="2"/>
    </row>
    <row r="26" spans="2:45" x14ac:dyDescent="0.2">
      <c r="B26" s="2">
        <v>24</v>
      </c>
      <c r="C26" t="s">
        <v>24</v>
      </c>
      <c r="D26" s="2" t="s">
        <v>88</v>
      </c>
      <c r="F26" s="3" t="str">
        <f>_xlfn.XLOOKUP(MOD(H26,100),$B$3:$B$26,$C$3:$C$26)</f>
        <v>Icons</v>
      </c>
      <c r="G26" s="2">
        <f t="shared" si="13"/>
        <v>3</v>
      </c>
      <c r="H26" s="2">
        <v>17</v>
      </c>
      <c r="I26" s="2">
        <v>140</v>
      </c>
      <c r="J26" s="2"/>
      <c r="K26" s="2"/>
      <c r="L26" s="2"/>
      <c r="M26">
        <v>3</v>
      </c>
      <c r="AA26" s="6"/>
      <c r="AB26" s="6"/>
      <c r="AC26" s="6"/>
      <c r="AD26" s="6"/>
      <c r="AE26" s="6"/>
      <c r="AF26" s="6"/>
      <c r="AG26" s="6"/>
      <c r="AI26" s="2">
        <f t="shared" si="14"/>
        <v>2</v>
      </c>
      <c r="AJ26" s="2">
        <f t="shared" si="1"/>
        <v>4</v>
      </c>
      <c r="AK26" t="str">
        <f t="shared" si="15"/>
        <v>Help button</v>
      </c>
      <c r="AL26" t="b">
        <f t="shared" ref="AL25:AL26" si="16">ISNUMBER(FIND("t",LEFT(D26,AI26)))</f>
        <v>0</v>
      </c>
      <c r="AM26" t="b">
        <f t="shared" ref="AM25:AM26" si="17">ISNUMBER(FIND("v",LEFT(D26,AI26)))</f>
        <v>0</v>
      </c>
      <c r="AN26" t="b">
        <f t="shared" ref="AN25:AN26" si="18">ISNUMBER(FIND("t",MID(D26,AI26,10)))</f>
        <v>0</v>
      </c>
      <c r="AO26" t="b">
        <f t="shared" ref="AO25:AO26" si="19">ISNUMBER(FIND("d",MID(D26,AI26,10)))</f>
        <v>0</v>
      </c>
      <c r="AP26" t="b">
        <f>ISNUMBER(FIND("f",MID(D26,AI26,10)))</f>
        <v>0</v>
      </c>
      <c r="AQ26" t="b">
        <f t="shared" ref="AQ4:AQ26" si="20">ISNUMBER(FIND("t",RIGHT(D26,LEN(D26)-AJ26)))</f>
        <v>0</v>
      </c>
      <c r="AR26" t="b">
        <f t="shared" ref="AR4:AR26" si="21">ISNUMBER(FIND("v",RIGHT(D26,LEN(D26)-AJ26)))</f>
        <v>0</v>
      </c>
      <c r="AS26" s="2"/>
    </row>
    <row r="27" spans="2:45" x14ac:dyDescent="0.2">
      <c r="F27" s="3" t="str">
        <f t="shared" ref="F27" si="22">_xlfn.XLOOKUP(MOD(H27,100),$B$3:$B$26,$C$3:$C$26)</f>
        <v>OK button</v>
      </c>
      <c r="G27" s="2">
        <f t="shared" si="13"/>
        <v>4</v>
      </c>
      <c r="H27" s="2">
        <v>3</v>
      </c>
      <c r="I27" s="2">
        <v>55</v>
      </c>
      <c r="J27" s="2">
        <v>50</v>
      </c>
      <c r="K27" s="2">
        <v>88</v>
      </c>
      <c r="L27" s="2"/>
      <c r="M27" t="s">
        <v>36</v>
      </c>
      <c r="AA27" s="6"/>
      <c r="AB27" s="6"/>
      <c r="AC27" s="6"/>
      <c r="AD27" s="6"/>
      <c r="AE27" s="6"/>
      <c r="AF27" s="6"/>
      <c r="AG27" s="6"/>
      <c r="AK27" t="s">
        <v>34</v>
      </c>
      <c r="AL27" t="b">
        <v>1</v>
      </c>
      <c r="AM27" t="b">
        <v>0</v>
      </c>
      <c r="AN27" t="b">
        <v>0</v>
      </c>
      <c r="AO27" t="b">
        <v>0</v>
      </c>
      <c r="AP27" t="b">
        <v>0</v>
      </c>
      <c r="AQ27" t="b">
        <v>1</v>
      </c>
      <c r="AR27" t="b">
        <v>1</v>
      </c>
      <c r="AS27" s="2"/>
    </row>
    <row r="28" spans="2:45" x14ac:dyDescent="0.2">
      <c r="F28" s="3" t="b">
        <f>GOTO(G22)</f>
        <v>1</v>
      </c>
      <c r="G28" s="3" t="b">
        <f>GOTO(H22)</f>
        <v>1</v>
      </c>
      <c r="H28" s="3" t="b">
        <f>GOTO(I22)</f>
        <v>1</v>
      </c>
      <c r="I28" s="3" t="b">
        <f>GOTO(J22)</f>
        <v>1</v>
      </c>
      <c r="J28" s="3" t="b">
        <f>GOTO(K22)</f>
        <v>1</v>
      </c>
      <c r="K28" s="3" t="b">
        <f>GOTO(L22)</f>
        <v>1</v>
      </c>
      <c r="L28" s="3" t="b">
        <f>GOTO(M22)</f>
        <v>1</v>
      </c>
      <c r="M28" s="3" t="b">
        <f>GOTO(N22)</f>
        <v>1</v>
      </c>
      <c r="N28" s="3" t="b">
        <f>GOTO(O21)</f>
        <v>1</v>
      </c>
      <c r="O28" s="5" t="b">
        <f>GOTO(Main.DlgRows)</f>
        <v>1</v>
      </c>
      <c r="AA28" s="6"/>
      <c r="AB28" s="6"/>
      <c r="AC28" s="6"/>
      <c r="AD28" s="6"/>
      <c r="AE28" s="6"/>
      <c r="AF28" s="6"/>
      <c r="AG28" s="6"/>
      <c r="AI28" s="5" t="b">
        <f t="shared" ref="AI28:AR28" si="23">GOTO(AJ2)</f>
        <v>1</v>
      </c>
      <c r="AJ28" s="5" t="b">
        <f t="shared" si="23"/>
        <v>1</v>
      </c>
      <c r="AK28" s="5" t="b">
        <f t="shared" si="23"/>
        <v>1</v>
      </c>
      <c r="AL28" s="5" t="b">
        <f t="shared" si="23"/>
        <v>1</v>
      </c>
      <c r="AM28" s="5" t="b">
        <f t="shared" si="23"/>
        <v>1</v>
      </c>
      <c r="AN28" s="5" t="b">
        <f t="shared" si="23"/>
        <v>1</v>
      </c>
      <c r="AO28" s="5" t="b">
        <f t="shared" si="23"/>
        <v>1</v>
      </c>
      <c r="AP28" s="5" t="b">
        <f t="shared" si="23"/>
        <v>1</v>
      </c>
      <c r="AQ28" s="5" t="b">
        <f t="shared" si="23"/>
        <v>1</v>
      </c>
      <c r="AR28" s="5" t="b">
        <f>HALT()</f>
        <v>1</v>
      </c>
    </row>
    <row r="29" spans="2:45" x14ac:dyDescent="0.2">
      <c r="AA29" s="6"/>
      <c r="AB29" s="6"/>
      <c r="AC29" s="6"/>
      <c r="AD29" s="6"/>
      <c r="AE29" s="6"/>
      <c r="AF29" s="6"/>
      <c r="AG29" s="6"/>
    </row>
    <row r="30" spans="2:45" x14ac:dyDescent="0.2">
      <c r="AA30" s="6"/>
      <c r="AB30" s="6"/>
      <c r="AC30" s="6"/>
      <c r="AD30" s="6"/>
      <c r="AE30" s="6"/>
      <c r="AF30" s="6"/>
      <c r="AG30" s="6"/>
    </row>
    <row r="31" spans="2:45" x14ac:dyDescent="0.2">
      <c r="F31" s="2">
        <f>COUNT(H31:H37)</f>
        <v>4</v>
      </c>
      <c r="G31" s="1" t="s">
        <v>33</v>
      </c>
      <c r="H31" s="1" t="s">
        <v>0</v>
      </c>
      <c r="I31" s="1" t="s">
        <v>27</v>
      </c>
      <c r="J31" s="1" t="s">
        <v>28</v>
      </c>
      <c r="K31" s="1" t="s">
        <v>29</v>
      </c>
      <c r="L31" s="1" t="s">
        <v>30</v>
      </c>
      <c r="M31" s="1" t="s">
        <v>31</v>
      </c>
      <c r="N31" s="1" t="s">
        <v>32</v>
      </c>
      <c r="AA31" s="6"/>
      <c r="AB31" s="6"/>
      <c r="AC31" s="6"/>
      <c r="AD31" s="6"/>
      <c r="AE31" s="6"/>
      <c r="AF31" s="6"/>
      <c r="AG31" s="6"/>
    </row>
    <row r="32" spans="2:45" x14ac:dyDescent="0.2">
      <c r="C32" s="7" t="b">
        <f>DIALOG.BOX(OFFSET(DialogTable,0,0,C31,7))</f>
        <v>0</v>
      </c>
      <c r="F32" s="3" t="s">
        <v>34</v>
      </c>
      <c r="G32" s="2">
        <v>0</v>
      </c>
      <c r="H32" s="2"/>
      <c r="I32" s="2"/>
      <c r="J32" s="2"/>
      <c r="K32" s="2"/>
      <c r="L32" s="2"/>
      <c r="M32" t="s">
        <v>56</v>
      </c>
      <c r="N32" s="2"/>
      <c r="AA32" s="6"/>
      <c r="AB32" s="6"/>
      <c r="AC32" s="6"/>
      <c r="AD32" s="6"/>
      <c r="AE32" s="6"/>
      <c r="AF32" s="6"/>
      <c r="AG32" s="6"/>
    </row>
    <row r="33" spans="2:33" x14ac:dyDescent="0.2">
      <c r="F33" s="3" t="str">
        <f>_xlfn.XLOOKUP(MOD(H33,100),$B$3:$B$26,$C$3:$C$26)</f>
        <v>Default Cancel button</v>
      </c>
      <c r="G33" s="2">
        <f>G32+1</f>
        <v>1</v>
      </c>
      <c r="H33" s="2">
        <v>4</v>
      </c>
      <c r="I33" s="2">
        <v>10</v>
      </c>
      <c r="J33" s="2">
        <v>10</v>
      </c>
      <c r="K33" s="2"/>
      <c r="L33" s="2"/>
      <c r="AA33" s="6"/>
      <c r="AB33" s="6"/>
      <c r="AC33" s="6"/>
      <c r="AD33" s="6"/>
      <c r="AE33" s="6"/>
      <c r="AF33" s="6"/>
      <c r="AG33" s="6"/>
    </row>
    <row r="34" spans="2:33" x14ac:dyDescent="0.2">
      <c r="B34" s="1" t="s">
        <v>53</v>
      </c>
      <c r="C34" s="1" t="s">
        <v>34</v>
      </c>
      <c r="F34" s="3" t="str">
        <f t="shared" ref="F34:F36" si="24">_xlfn.XLOOKUP(MOD(H34,100),$B$3:$B$26,$C$3:$C$26)</f>
        <v>OK button</v>
      </c>
      <c r="G34" s="2">
        <f>G33+1</f>
        <v>2</v>
      </c>
      <c r="H34" s="2">
        <v>3</v>
      </c>
      <c r="I34" s="2">
        <v>10</v>
      </c>
      <c r="J34" s="2">
        <f>J33+30</f>
        <v>40</v>
      </c>
      <c r="K34" s="2"/>
      <c r="L34" s="2"/>
      <c r="AA34" s="6"/>
      <c r="AB34" s="6"/>
      <c r="AC34" s="6"/>
      <c r="AD34" s="6"/>
      <c r="AE34" s="6"/>
      <c r="AF34" s="6"/>
      <c r="AG34" s="6"/>
    </row>
    <row r="35" spans="2:33" x14ac:dyDescent="0.2">
      <c r="B35" s="2" t="str">
        <f>REFTEXT(F2,TRUE)</f>
        <v>$F$2</v>
      </c>
      <c r="C35" t="s">
        <v>54</v>
      </c>
      <c r="D35" s="2" t="s">
        <v>55</v>
      </c>
      <c r="F35" s="3" t="str">
        <f t="shared" si="24"/>
        <v>Cancel button</v>
      </c>
      <c r="G35" s="2">
        <f t="shared" ref="G35:G36" si="25">G34+1</f>
        <v>3</v>
      </c>
      <c r="H35" s="2">
        <v>2</v>
      </c>
      <c r="I35" s="2">
        <v>10</v>
      </c>
      <c r="J35" s="2">
        <f t="shared" ref="J35:J36" si="26">J34+30</f>
        <v>70</v>
      </c>
      <c r="K35" s="2"/>
      <c r="L35" s="2"/>
      <c r="AA35" s="6"/>
      <c r="AB35" s="6"/>
      <c r="AC35" s="6"/>
      <c r="AD35" s="6"/>
      <c r="AE35" s="6"/>
      <c r="AF35" s="6"/>
      <c r="AG35" s="6"/>
    </row>
    <row r="36" spans="2:33" x14ac:dyDescent="0.2">
      <c r="B36" s="2" t="str">
        <f>REFTEXT(F22,TRUE)</f>
        <v>$F$22</v>
      </c>
      <c r="C36" t="s">
        <v>19</v>
      </c>
      <c r="D36" s="2"/>
      <c r="F36" s="3" t="str">
        <f t="shared" si="24"/>
        <v>Default OK button</v>
      </c>
      <c r="G36" s="2">
        <f t="shared" si="25"/>
        <v>4</v>
      </c>
      <c r="H36" s="2">
        <v>1</v>
      </c>
      <c r="I36" s="2">
        <v>10</v>
      </c>
      <c r="J36" s="2">
        <f t="shared" si="26"/>
        <v>100</v>
      </c>
      <c r="K36" s="2"/>
      <c r="L36" s="2"/>
      <c r="AA36" s="6"/>
      <c r="AB36" s="6"/>
      <c r="AC36" s="6"/>
      <c r="AD36" s="6"/>
      <c r="AE36" s="6"/>
      <c r="AF36" s="6"/>
      <c r="AG36" s="6"/>
    </row>
    <row r="37" spans="2:33" x14ac:dyDescent="0.2">
      <c r="B37" s="2" t="str">
        <f>REFTEXT(F31,TRUE)</f>
        <v>$F$31</v>
      </c>
      <c r="C37" t="s">
        <v>57</v>
      </c>
      <c r="D37" s="2"/>
      <c r="F37" s="3" t="b">
        <f>GOTO(G31)</f>
        <v>1</v>
      </c>
      <c r="G37" s="3" t="b">
        <f>GOTO(H31)</f>
        <v>1</v>
      </c>
      <c r="H37" s="3" t="b">
        <f>GOTO(I31)</f>
        <v>1</v>
      </c>
      <c r="I37" s="3" t="b">
        <f>GOTO(J31)</f>
        <v>1</v>
      </c>
      <c r="J37" s="3" t="b">
        <f>GOTO(K31)</f>
        <v>1</v>
      </c>
      <c r="K37" s="3" t="b">
        <f>GOTO(L31)</f>
        <v>1</v>
      </c>
      <c r="L37" s="3" t="b">
        <f>GOTO(M31)</f>
        <v>1</v>
      </c>
      <c r="M37" s="3" t="b">
        <f>GOTO(N31)</f>
        <v>1</v>
      </c>
      <c r="N37" s="3" t="b">
        <f>GOTO(O30)</f>
        <v>1</v>
      </c>
      <c r="O37" s="5" t="b">
        <f>GOTO(Main.DlgRows)</f>
        <v>1</v>
      </c>
      <c r="AA37" s="6"/>
      <c r="AB37" s="6"/>
      <c r="AC37" s="6"/>
      <c r="AD37" s="6"/>
      <c r="AE37" s="6"/>
      <c r="AF37" s="6"/>
      <c r="AG37" s="6"/>
    </row>
    <row r="38" spans="2:33" x14ac:dyDescent="0.2">
      <c r="B38" s="2" t="str">
        <f>REFTEXT(F40,TRUE)</f>
        <v>$F$40</v>
      </c>
      <c r="C38" t="s">
        <v>60</v>
      </c>
      <c r="D38" s="2"/>
      <c r="AA38" s="6"/>
      <c r="AB38" s="6"/>
      <c r="AC38" s="6"/>
      <c r="AD38" s="6"/>
      <c r="AE38" s="6"/>
      <c r="AF38" s="6"/>
      <c r="AG38" s="6"/>
    </row>
    <row r="39" spans="2:33" x14ac:dyDescent="0.2">
      <c r="B39" s="2" t="str">
        <f>REFTEXT(F52,TRUE)</f>
        <v>$F$52</v>
      </c>
      <c r="C39" t="s">
        <v>78</v>
      </c>
      <c r="D39" s="2"/>
      <c r="AA39" s="6"/>
      <c r="AB39" s="6"/>
      <c r="AC39" s="6"/>
      <c r="AD39" s="6"/>
      <c r="AE39" s="6"/>
      <c r="AF39" s="6"/>
      <c r="AG39" s="6"/>
    </row>
    <row r="40" spans="2:33" x14ac:dyDescent="0.2">
      <c r="B40" s="2" t="str">
        <f>REFTEXT(F62,TRUE)</f>
        <v>$F$62</v>
      </c>
      <c r="C40" t="s">
        <v>71</v>
      </c>
      <c r="D40" s="2" t="s">
        <v>55</v>
      </c>
      <c r="F40" s="2">
        <f>COUNT(H40:H49)</f>
        <v>7</v>
      </c>
      <c r="G40" s="1" t="s">
        <v>33</v>
      </c>
      <c r="H40" s="1" t="s">
        <v>0</v>
      </c>
      <c r="I40" s="1" t="s">
        <v>27</v>
      </c>
      <c r="J40" s="1" t="s">
        <v>28</v>
      </c>
      <c r="K40" s="1" t="s">
        <v>29</v>
      </c>
      <c r="L40" s="1" t="s">
        <v>30</v>
      </c>
      <c r="M40" s="1" t="s">
        <v>31</v>
      </c>
      <c r="N40" s="1" t="s">
        <v>32</v>
      </c>
      <c r="AA40" s="6"/>
      <c r="AB40" s="6"/>
      <c r="AC40" s="6"/>
      <c r="AD40" s="6"/>
      <c r="AE40" s="6"/>
      <c r="AF40" s="6"/>
      <c r="AG40" s="6"/>
    </row>
    <row r="41" spans="2:33" x14ac:dyDescent="0.2">
      <c r="B41" s="2" t="str">
        <f>REFTEXT(F74,TRUE)</f>
        <v>$F$74</v>
      </c>
      <c r="C41" t="s">
        <v>15</v>
      </c>
      <c r="D41" s="2" t="s">
        <v>55</v>
      </c>
      <c r="F41" s="3" t="s">
        <v>34</v>
      </c>
      <c r="G41" s="2">
        <v>0</v>
      </c>
      <c r="H41" s="2"/>
      <c r="I41" s="2"/>
      <c r="J41" s="2"/>
      <c r="K41" s="2"/>
      <c r="L41" s="2"/>
      <c r="M41" t="s">
        <v>64</v>
      </c>
      <c r="N41" s="2"/>
      <c r="AA41" s="6"/>
      <c r="AB41" s="6"/>
      <c r="AC41" s="6"/>
      <c r="AD41" s="6"/>
      <c r="AE41" s="6"/>
      <c r="AF41" s="6"/>
      <c r="AG41" s="6"/>
    </row>
    <row r="42" spans="2:33" x14ac:dyDescent="0.2">
      <c r="B42" s="2" t="str">
        <f>REFTEXT(F83,TRUE)</f>
        <v>$F$83</v>
      </c>
      <c r="C42" t="s">
        <v>76</v>
      </c>
      <c r="D42" s="2" t="s">
        <v>55</v>
      </c>
      <c r="F42" s="3" t="str">
        <f>_xlfn.XLOOKUP(MOD(H42,100),$B$3:$B$26,$C$3:$C$26)</f>
        <v>Static text</v>
      </c>
      <c r="G42" s="2">
        <f>G41+1</f>
        <v>1</v>
      </c>
      <c r="H42" s="2">
        <v>5</v>
      </c>
      <c r="I42" s="2">
        <v>10</v>
      </c>
      <c r="J42" s="2">
        <v>10</v>
      </c>
      <c r="K42" s="2"/>
      <c r="L42" s="2"/>
      <c r="M42" t="s">
        <v>58</v>
      </c>
      <c r="AA42" s="6"/>
      <c r="AB42" s="6"/>
      <c r="AC42" s="6"/>
      <c r="AD42" s="6"/>
      <c r="AE42" s="6"/>
      <c r="AF42" s="6"/>
      <c r="AG42" s="6"/>
    </row>
    <row r="43" spans="2:33" x14ac:dyDescent="0.2">
      <c r="B43" s="5" t="b">
        <f>GOTO(C$34)</f>
        <v>1</v>
      </c>
      <c r="C43" s="5" t="b">
        <f>GOTO(D$34)</f>
        <v>1</v>
      </c>
      <c r="D43" s="5" t="b">
        <f>GOTO(Main.DlgRef)</f>
        <v>1</v>
      </c>
      <c r="F43" s="3" t="str">
        <f t="shared" ref="F43:F45" si="27">_xlfn.XLOOKUP(MOD(H43,100),$B$3:$B$26,$C$3:$C$26)</f>
        <v>Text edit box</v>
      </c>
      <c r="G43" s="2">
        <f>G42+1</f>
        <v>2</v>
      </c>
      <c r="H43" s="2">
        <v>6</v>
      </c>
      <c r="I43" s="2">
        <v>10</v>
      </c>
      <c r="J43" s="2">
        <f>J42+30</f>
        <v>40</v>
      </c>
      <c r="K43" s="2"/>
      <c r="L43" s="2"/>
      <c r="N43" t="s">
        <v>59</v>
      </c>
      <c r="AA43" s="6"/>
      <c r="AB43" s="6"/>
      <c r="AC43" s="6"/>
      <c r="AD43" s="6"/>
      <c r="AE43" s="6"/>
      <c r="AF43" s="6"/>
      <c r="AG43" s="6"/>
    </row>
    <row r="44" spans="2:33" x14ac:dyDescent="0.2">
      <c r="F44" s="3" t="str">
        <f t="shared" si="27"/>
        <v>Integer edit box</v>
      </c>
      <c r="G44" s="2">
        <f t="shared" ref="G44:G45" si="28">G43+1</f>
        <v>3</v>
      </c>
      <c r="H44" s="2">
        <v>7</v>
      </c>
      <c r="I44" s="2">
        <v>10</v>
      </c>
      <c r="J44" s="2">
        <f t="shared" ref="J44:J45" si="29">J43+30</f>
        <v>70</v>
      </c>
      <c r="K44" s="2"/>
      <c r="L44" s="2"/>
      <c r="N44">
        <f>2^15-1</f>
        <v>32767</v>
      </c>
      <c r="AA44" s="6"/>
      <c r="AB44" s="6"/>
      <c r="AC44" s="6"/>
      <c r="AD44" s="6"/>
      <c r="AE44" s="6"/>
      <c r="AF44" s="6"/>
      <c r="AG44" s="6"/>
    </row>
    <row r="45" spans="2:33" x14ac:dyDescent="0.2">
      <c r="F45" s="3" t="str">
        <f t="shared" si="27"/>
        <v>Number edit box</v>
      </c>
      <c r="G45" s="2">
        <f t="shared" si="28"/>
        <v>4</v>
      </c>
      <c r="H45" s="2">
        <v>8</v>
      </c>
      <c r="I45" s="2">
        <v>10</v>
      </c>
      <c r="J45" s="2">
        <f t="shared" si="29"/>
        <v>100</v>
      </c>
      <c r="K45" s="2"/>
      <c r="L45" s="2"/>
      <c r="N45">
        <f>PI()</f>
        <v>3.1415926535897931</v>
      </c>
      <c r="AA45" s="6"/>
      <c r="AB45" s="6"/>
      <c r="AC45" s="6"/>
      <c r="AD45" s="6"/>
      <c r="AE45" s="6"/>
      <c r="AF45" s="6"/>
      <c r="AG45" s="6"/>
    </row>
    <row r="46" spans="2:33" x14ac:dyDescent="0.2">
      <c r="F46" s="3" t="str">
        <f t="shared" ref="F46" si="30">_xlfn.XLOOKUP(MOD(H46,100),$B$3:$B$26,$C$3:$C$26)</f>
        <v>Formula edit box</v>
      </c>
      <c r="G46" s="2">
        <f t="shared" ref="G46" si="31">G45+1</f>
        <v>5</v>
      </c>
      <c r="H46" s="2">
        <v>9</v>
      </c>
      <c r="I46" s="2">
        <v>10</v>
      </c>
      <c r="J46" s="2">
        <f t="shared" ref="J46" si="32">J45+30</f>
        <v>130</v>
      </c>
      <c r="K46" s="2"/>
      <c r="L46" s="2"/>
      <c r="N46" s="8" t="s">
        <v>62</v>
      </c>
      <c r="AA46" s="6"/>
      <c r="AB46" s="6"/>
      <c r="AC46" s="6"/>
      <c r="AD46" s="6"/>
      <c r="AE46" s="6"/>
      <c r="AF46" s="6"/>
      <c r="AG46" s="6"/>
    </row>
    <row r="47" spans="2:33" x14ac:dyDescent="0.2">
      <c r="F47" s="3" t="str">
        <f t="shared" ref="F47" si="33">_xlfn.XLOOKUP(MOD(H47,100),$B$3:$B$26,$C$3:$C$26)</f>
        <v>Reference edit box</v>
      </c>
      <c r="G47" s="2">
        <f t="shared" ref="G47" si="34">G46+1</f>
        <v>6</v>
      </c>
      <c r="H47" s="2">
        <v>10</v>
      </c>
      <c r="I47" s="2">
        <v>10</v>
      </c>
      <c r="J47" s="2">
        <f t="shared" ref="J47" si="35">J46+30</f>
        <v>160</v>
      </c>
      <c r="K47" s="2"/>
      <c r="L47" s="2"/>
      <c r="N47" t="s">
        <v>63</v>
      </c>
      <c r="AA47" s="6"/>
      <c r="AB47" s="6"/>
      <c r="AC47" s="6"/>
      <c r="AD47" s="6"/>
      <c r="AE47" s="6"/>
      <c r="AF47" s="6"/>
      <c r="AG47" s="6"/>
    </row>
    <row r="48" spans="2:33" x14ac:dyDescent="0.2">
      <c r="F48" s="3" t="str">
        <f t="shared" ref="F48" si="36">_xlfn.XLOOKUP(MOD(H48,100),$B$3:$B$26,$C$3:$C$26)</f>
        <v>Default OK button</v>
      </c>
      <c r="G48" s="2">
        <f t="shared" ref="G48" si="37">G47+1</f>
        <v>7</v>
      </c>
      <c r="H48" s="2">
        <v>1</v>
      </c>
      <c r="I48" s="2">
        <v>10</v>
      </c>
      <c r="J48" s="2">
        <f t="shared" ref="J48" si="38">J47+30</f>
        <v>190</v>
      </c>
      <c r="K48" s="2"/>
      <c r="L48" s="2"/>
      <c r="M48" t="s">
        <v>36</v>
      </c>
      <c r="AA48" s="6"/>
      <c r="AB48" s="6"/>
      <c r="AC48" s="6"/>
      <c r="AD48" s="6"/>
      <c r="AE48" s="6"/>
      <c r="AF48" s="6"/>
      <c r="AG48" s="6"/>
    </row>
    <row r="49" spans="6:33" x14ac:dyDescent="0.2">
      <c r="F49" s="3" t="b">
        <f>GOTO(G40)</f>
        <v>1</v>
      </c>
      <c r="G49" s="3" t="b">
        <f>GOTO(H40)</f>
        <v>1</v>
      </c>
      <c r="H49" s="3" t="b">
        <f>GOTO(I40)</f>
        <v>1</v>
      </c>
      <c r="I49" s="3" t="b">
        <f>GOTO(J40)</f>
        <v>1</v>
      </c>
      <c r="J49" s="3" t="b">
        <f>GOTO(K40)</f>
        <v>1</v>
      </c>
      <c r="K49" s="3" t="b">
        <f>GOTO(L40)</f>
        <v>1</v>
      </c>
      <c r="L49" s="3" t="b">
        <f>GOTO(M40)</f>
        <v>1</v>
      </c>
      <c r="M49" s="3" t="b">
        <f>GOTO(N40)</f>
        <v>1</v>
      </c>
      <c r="N49" s="3" t="b">
        <f>GOTO(O39)</f>
        <v>1</v>
      </c>
      <c r="O49" s="5" t="b">
        <f>GOTO(Main.DlgRows)</f>
        <v>1</v>
      </c>
      <c r="AA49" s="6"/>
      <c r="AB49" s="6"/>
      <c r="AC49" s="6"/>
      <c r="AD49" s="6"/>
      <c r="AE49" s="6"/>
      <c r="AF49" s="6"/>
      <c r="AG49" s="6"/>
    </row>
    <row r="50" spans="6:33" x14ac:dyDescent="0.2">
      <c r="AA50" s="6"/>
      <c r="AB50" s="6"/>
      <c r="AC50" s="6"/>
      <c r="AD50" s="6"/>
      <c r="AE50" s="6"/>
      <c r="AF50" s="6"/>
      <c r="AG50" s="6"/>
    </row>
    <row r="51" spans="6:33" x14ac:dyDescent="0.2">
      <c r="J51">
        <v>18</v>
      </c>
      <c r="AA51" s="6"/>
      <c r="AB51" s="6"/>
      <c r="AC51" s="6"/>
      <c r="AD51" s="6"/>
      <c r="AE51" s="6"/>
      <c r="AF51" s="6"/>
      <c r="AG51" s="6"/>
    </row>
    <row r="52" spans="6:33" x14ac:dyDescent="0.2">
      <c r="F52" s="2">
        <f>COUNT(H52:H59)</f>
        <v>5</v>
      </c>
      <c r="G52" s="1" t="s">
        <v>33</v>
      </c>
      <c r="H52" s="1" t="s">
        <v>0</v>
      </c>
      <c r="I52" s="1" t="s">
        <v>27</v>
      </c>
      <c r="J52" s="1" t="s">
        <v>28</v>
      </c>
      <c r="K52" s="1" t="s">
        <v>29</v>
      </c>
      <c r="L52" s="1" t="s">
        <v>30</v>
      </c>
      <c r="M52" s="1" t="s">
        <v>31</v>
      </c>
      <c r="N52" s="1" t="s">
        <v>32</v>
      </c>
      <c r="AA52" s="6"/>
      <c r="AB52" s="6"/>
      <c r="AC52" s="6"/>
      <c r="AD52" s="6"/>
      <c r="AE52" s="6"/>
      <c r="AF52" s="6"/>
      <c r="AG52" s="6"/>
    </row>
    <row r="53" spans="6:33" x14ac:dyDescent="0.2">
      <c r="F53" s="3" t="s">
        <v>34</v>
      </c>
      <c r="G53" s="2">
        <v>0</v>
      </c>
      <c r="H53" s="2"/>
      <c r="I53" s="2"/>
      <c r="J53" s="2"/>
      <c r="K53" s="2"/>
      <c r="L53" s="2"/>
      <c r="M53" t="s">
        <v>77</v>
      </c>
      <c r="N53" s="2">
        <v>2</v>
      </c>
      <c r="AA53" s="6"/>
      <c r="AB53" s="6"/>
      <c r="AC53" s="6"/>
      <c r="AD53" s="6"/>
      <c r="AE53" s="6"/>
      <c r="AF53" s="6"/>
      <c r="AG53" s="6"/>
    </row>
    <row r="54" spans="6:33" x14ac:dyDescent="0.2">
      <c r="F54" s="3" t="str">
        <f>_xlfn.XLOOKUP(MOD(H54,100),$B$3:$B$26,$C$3:$C$26)</f>
        <v>Option button group</v>
      </c>
      <c r="G54" s="2">
        <f>G53+1</f>
        <v>1</v>
      </c>
      <c r="H54" s="2">
        <v>211</v>
      </c>
      <c r="I54" s="2">
        <v>5</v>
      </c>
      <c r="J54" s="2">
        <v>1</v>
      </c>
      <c r="K54" s="2"/>
      <c r="L54" s="2"/>
      <c r="M54" t="s">
        <v>79</v>
      </c>
      <c r="N54">
        <v>3</v>
      </c>
      <c r="AA54" s="6"/>
      <c r="AB54" s="6"/>
      <c r="AC54" s="6"/>
      <c r="AD54" s="6"/>
      <c r="AE54" s="6"/>
      <c r="AF54" s="6"/>
      <c r="AG54" s="6"/>
    </row>
    <row r="55" spans="6:33" x14ac:dyDescent="0.2">
      <c r="F55" s="3" t="str">
        <f t="shared" ref="F55:F57" si="39">_xlfn.XLOOKUP(MOD(H55,100),$B$3:$B$26,$C$3:$C$26)</f>
        <v>Option button</v>
      </c>
      <c r="G55" s="2">
        <f>G54+1</f>
        <v>2</v>
      </c>
      <c r="H55" s="2">
        <v>12</v>
      </c>
      <c r="I55" s="2">
        <v>15</v>
      </c>
      <c r="J55" s="2">
        <v>18</v>
      </c>
      <c r="K55" s="2"/>
      <c r="L55" s="2"/>
      <c r="M55" t="s">
        <v>61</v>
      </c>
      <c r="AA55" s="6"/>
      <c r="AB55" s="6"/>
      <c r="AC55" s="6"/>
      <c r="AD55" s="6"/>
      <c r="AE55" s="6"/>
      <c r="AF55" s="6"/>
      <c r="AG55" s="6"/>
    </row>
    <row r="56" spans="6:33" x14ac:dyDescent="0.2">
      <c r="F56" s="3" t="str">
        <f t="shared" si="39"/>
        <v>Option button</v>
      </c>
      <c r="G56" s="2">
        <f t="shared" ref="G56:G58" si="40">G55+1</f>
        <v>3</v>
      </c>
      <c r="H56" s="2">
        <v>12</v>
      </c>
      <c r="I56" s="2">
        <f>I55</f>
        <v>15</v>
      </c>
      <c r="J56" s="2">
        <f>J55+$J$51</f>
        <v>36</v>
      </c>
      <c r="K56" s="2"/>
      <c r="L56" s="2"/>
      <c r="M56" t="s">
        <v>72</v>
      </c>
      <c r="AA56" s="6"/>
      <c r="AB56" s="6"/>
      <c r="AC56" s="6"/>
      <c r="AD56" s="6"/>
      <c r="AE56" s="6"/>
      <c r="AF56" s="6"/>
      <c r="AG56" s="6"/>
    </row>
    <row r="57" spans="6:33" x14ac:dyDescent="0.2">
      <c r="F57" s="3" t="str">
        <f t="shared" si="39"/>
        <v>Option button</v>
      </c>
      <c r="G57" s="2">
        <f t="shared" si="40"/>
        <v>4</v>
      </c>
      <c r="H57" s="2">
        <v>12</v>
      </c>
      <c r="I57" s="2">
        <f>I56</f>
        <v>15</v>
      </c>
      <c r="J57" s="2">
        <f>J56+$J$51</f>
        <v>54</v>
      </c>
      <c r="K57" s="2"/>
      <c r="L57" s="2"/>
      <c r="M57" t="s">
        <v>73</v>
      </c>
      <c r="AA57" s="6"/>
      <c r="AB57" s="6"/>
      <c r="AC57" s="6"/>
      <c r="AD57" s="6"/>
      <c r="AE57" s="6"/>
      <c r="AF57" s="6"/>
      <c r="AG57" s="6"/>
    </row>
    <row r="58" spans="6:33" x14ac:dyDescent="0.2">
      <c r="F58" s="3"/>
      <c r="G58" s="2">
        <f t="shared" si="40"/>
        <v>5</v>
      </c>
      <c r="H58" s="2">
        <v>1</v>
      </c>
      <c r="I58" s="2"/>
      <c r="J58" s="2"/>
      <c r="K58" s="2"/>
      <c r="L58" s="2"/>
      <c r="M58" t="s">
        <v>36</v>
      </c>
      <c r="AA58" s="6"/>
      <c r="AB58" s="6"/>
      <c r="AC58" s="6"/>
      <c r="AD58" s="6"/>
      <c r="AE58" s="6"/>
      <c r="AF58" s="6"/>
      <c r="AG58" s="6"/>
    </row>
    <row r="59" spans="6:33" x14ac:dyDescent="0.2">
      <c r="F59" s="3" t="b">
        <f>GOTO(G52)</f>
        <v>1</v>
      </c>
      <c r="G59" s="3" t="b">
        <f>GOTO(H52)</f>
        <v>1</v>
      </c>
      <c r="H59" s="3" t="b">
        <f>GOTO(I52)</f>
        <v>1</v>
      </c>
      <c r="I59" s="3" t="b">
        <f>GOTO(J52)</f>
        <v>1</v>
      </c>
      <c r="J59" s="3" t="b">
        <f>GOTO(K52)</f>
        <v>1</v>
      </c>
      <c r="K59" s="3" t="b">
        <f>GOTO(L52)</f>
        <v>1</v>
      </c>
      <c r="L59" s="3" t="b">
        <f>GOTO(M52)</f>
        <v>1</v>
      </c>
      <c r="M59" s="3" t="b">
        <f>GOTO(N52)</f>
        <v>1</v>
      </c>
      <c r="N59" s="3" t="b">
        <f>GOTO(O51)</f>
        <v>1</v>
      </c>
      <c r="O59" s="5" t="b">
        <f>GOTO(Main.DlgRows)</f>
        <v>1</v>
      </c>
      <c r="AA59" s="6"/>
      <c r="AB59" s="6"/>
      <c r="AC59" s="6"/>
      <c r="AD59" s="6"/>
      <c r="AE59" s="6"/>
      <c r="AF59" s="6"/>
      <c r="AG59" s="6"/>
    </row>
    <row r="60" spans="6:33" x14ac:dyDescent="0.2">
      <c r="AA60" s="6"/>
      <c r="AB60" s="6"/>
      <c r="AC60" s="6"/>
      <c r="AD60" s="6"/>
      <c r="AE60" s="6"/>
      <c r="AF60" s="6"/>
      <c r="AG60" s="6"/>
    </row>
    <row r="61" spans="6:33" x14ac:dyDescent="0.2">
      <c r="AA61" s="6"/>
      <c r="AB61" s="6"/>
      <c r="AC61" s="6"/>
      <c r="AD61" s="6"/>
      <c r="AE61" s="6"/>
      <c r="AF61" s="6"/>
      <c r="AG61" s="6"/>
    </row>
    <row r="62" spans="6:33" x14ac:dyDescent="0.2">
      <c r="F62" s="2">
        <f>COUNT(H62:H71)</f>
        <v>7</v>
      </c>
      <c r="G62" s="1" t="s">
        <v>33</v>
      </c>
      <c r="H62" s="1" t="s">
        <v>0</v>
      </c>
      <c r="I62" s="1" t="s">
        <v>27</v>
      </c>
      <c r="J62" s="1" t="s">
        <v>28</v>
      </c>
      <c r="K62" s="1" t="s">
        <v>29</v>
      </c>
      <c r="L62" s="1" t="s">
        <v>30</v>
      </c>
      <c r="M62" s="1" t="s">
        <v>31</v>
      </c>
      <c r="N62" s="1" t="s">
        <v>32</v>
      </c>
      <c r="AA62" s="6"/>
      <c r="AB62" s="6"/>
      <c r="AC62" s="6"/>
      <c r="AD62" s="6"/>
      <c r="AE62" s="6"/>
      <c r="AF62" s="6"/>
      <c r="AG62" s="6"/>
    </row>
    <row r="63" spans="6:33" x14ac:dyDescent="0.2">
      <c r="F63" s="3" t="s">
        <v>34</v>
      </c>
      <c r="G63" s="2">
        <v>0</v>
      </c>
      <c r="H63" s="2"/>
      <c r="I63" s="2"/>
      <c r="J63" s="2"/>
      <c r="K63" s="2"/>
      <c r="L63" s="2"/>
      <c r="M63" t="s">
        <v>70</v>
      </c>
      <c r="N63" s="2"/>
      <c r="AA63" s="6"/>
      <c r="AB63" s="6"/>
      <c r="AC63" s="6"/>
      <c r="AD63" s="6"/>
      <c r="AE63" s="6"/>
      <c r="AF63" s="6"/>
      <c r="AG63" s="6"/>
    </row>
    <row r="64" spans="6:33" x14ac:dyDescent="0.2">
      <c r="F64" s="3" t="str">
        <f>_xlfn.XLOOKUP(MOD(H64,100),$B$3:$B$26,$C$3:$C$26)</f>
        <v>Static text</v>
      </c>
      <c r="G64" s="2">
        <f>G63+1</f>
        <v>1</v>
      </c>
      <c r="H64" s="2">
        <v>5</v>
      </c>
      <c r="I64" s="2">
        <v>10</v>
      </c>
      <c r="J64" s="2"/>
      <c r="K64" s="2"/>
      <c r="L64" s="2"/>
      <c r="M64" t="s">
        <v>66</v>
      </c>
      <c r="AA64" s="6"/>
      <c r="AB64" s="6"/>
      <c r="AC64" s="6"/>
      <c r="AD64" s="6"/>
      <c r="AE64" s="6"/>
      <c r="AF64" s="6"/>
      <c r="AG64" s="6"/>
    </row>
    <row r="65" spans="6:33" x14ac:dyDescent="0.2">
      <c r="F65" s="3" t="str">
        <f t="shared" ref="F65:F70" si="41">_xlfn.XLOOKUP(MOD(H65,100),$B$3:$B$26,$C$3:$C$26)</f>
        <v>Text edit box</v>
      </c>
      <c r="G65" s="2">
        <f>G64+1</f>
        <v>2</v>
      </c>
      <c r="H65" s="2">
        <v>6</v>
      </c>
      <c r="I65" s="2">
        <v>10</v>
      </c>
      <c r="J65" s="2">
        <v>18</v>
      </c>
      <c r="K65" s="2"/>
      <c r="L65" s="2"/>
      <c r="N65" t="s">
        <v>68</v>
      </c>
      <c r="AA65" s="6"/>
      <c r="AB65" s="6"/>
      <c r="AC65" s="6"/>
      <c r="AD65" s="6"/>
      <c r="AE65" s="6"/>
      <c r="AF65" s="6"/>
      <c r="AG65" s="6"/>
    </row>
    <row r="66" spans="6:33" x14ac:dyDescent="0.2">
      <c r="F66" s="3" t="str">
        <f t="shared" si="41"/>
        <v>Linked list box</v>
      </c>
      <c r="G66" s="2">
        <f t="shared" ref="G66:G70" si="42">G65+1</f>
        <v>3</v>
      </c>
      <c r="H66" s="2">
        <v>16</v>
      </c>
      <c r="I66" s="2"/>
      <c r="J66" s="2"/>
      <c r="K66" s="2"/>
      <c r="L66" s="2"/>
      <c r="M66" t="s">
        <v>47</v>
      </c>
      <c r="AA66" s="6"/>
      <c r="AB66" s="6"/>
      <c r="AC66" s="6"/>
      <c r="AD66" s="6"/>
      <c r="AE66" s="6"/>
      <c r="AF66" s="6"/>
      <c r="AG66" s="6"/>
    </row>
    <row r="67" spans="6:33" x14ac:dyDescent="0.2">
      <c r="F67" s="3" t="str">
        <f t="shared" si="41"/>
        <v>Static text</v>
      </c>
      <c r="G67" s="2">
        <f t="shared" si="42"/>
        <v>4</v>
      </c>
      <c r="H67" s="2">
        <v>5</v>
      </c>
      <c r="I67" s="2">
        <v>10</v>
      </c>
      <c r="J67" s="2">
        <v>145</v>
      </c>
      <c r="K67" s="2"/>
      <c r="L67" s="2"/>
      <c r="M67" t="s">
        <v>67</v>
      </c>
      <c r="AA67" s="6"/>
      <c r="AB67" s="6"/>
      <c r="AC67" s="6"/>
      <c r="AD67" s="6"/>
      <c r="AE67" s="6"/>
      <c r="AF67" s="6"/>
      <c r="AG67" s="6"/>
    </row>
    <row r="68" spans="6:33" x14ac:dyDescent="0.2">
      <c r="F68" s="3" t="str">
        <f t="shared" si="41"/>
        <v>Text edit box</v>
      </c>
      <c r="G68" s="2">
        <f t="shared" si="42"/>
        <v>5</v>
      </c>
      <c r="H68" s="2">
        <v>6</v>
      </c>
      <c r="I68" s="2">
        <v>10</v>
      </c>
      <c r="J68" s="2">
        <v>163</v>
      </c>
      <c r="K68" s="2"/>
      <c r="L68" s="2"/>
      <c r="N68" s="8" t="s">
        <v>69</v>
      </c>
      <c r="AA68" s="6"/>
      <c r="AB68" s="6"/>
      <c r="AC68" s="6"/>
      <c r="AD68" s="6"/>
      <c r="AE68" s="6"/>
      <c r="AF68" s="6"/>
      <c r="AG68" s="6"/>
    </row>
    <row r="69" spans="6:33" x14ac:dyDescent="0.2">
      <c r="F69" s="3" t="str">
        <f t="shared" si="41"/>
        <v>Drop-down combination edit/list box</v>
      </c>
      <c r="G69" s="2">
        <f t="shared" si="42"/>
        <v>6</v>
      </c>
      <c r="H69" s="2">
        <v>22</v>
      </c>
      <c r="I69" s="2"/>
      <c r="J69" s="2"/>
      <c r="K69" s="2"/>
      <c r="L69" s="2"/>
      <c r="M69" t="s">
        <v>65</v>
      </c>
      <c r="N69" t="e">
        <v>#N/A</v>
      </c>
      <c r="AA69" s="6"/>
      <c r="AB69" s="6"/>
      <c r="AC69" s="6"/>
      <c r="AD69" s="6"/>
      <c r="AE69" s="6"/>
      <c r="AF69" s="6"/>
      <c r="AG69" s="6"/>
    </row>
    <row r="70" spans="6:33" x14ac:dyDescent="0.2">
      <c r="F70" s="3" t="str">
        <f t="shared" si="41"/>
        <v>OK button</v>
      </c>
      <c r="G70" s="2">
        <f t="shared" si="42"/>
        <v>7</v>
      </c>
      <c r="H70" s="2">
        <v>3</v>
      </c>
      <c r="I70" s="2">
        <v>10</v>
      </c>
      <c r="J70" s="2">
        <v>300</v>
      </c>
      <c r="K70" s="2"/>
      <c r="L70" s="2"/>
      <c r="M70" t="s">
        <v>36</v>
      </c>
      <c r="AA70" s="6"/>
      <c r="AB70" s="6"/>
      <c r="AC70" s="6"/>
      <c r="AD70" s="6"/>
      <c r="AE70" s="6"/>
      <c r="AF70" s="6"/>
      <c r="AG70" s="6"/>
    </row>
    <row r="71" spans="6:33" x14ac:dyDescent="0.2">
      <c r="F71" s="3" t="b">
        <f>GOTO(G62)</f>
        <v>1</v>
      </c>
      <c r="G71" s="3" t="b">
        <f>GOTO(H62)</f>
        <v>1</v>
      </c>
      <c r="H71" s="3" t="b">
        <f>GOTO(I62)</f>
        <v>1</v>
      </c>
      <c r="I71" s="3" t="b">
        <f>GOTO(J62)</f>
        <v>1</v>
      </c>
      <c r="J71" s="3" t="b">
        <f>GOTO(K62)</f>
        <v>1</v>
      </c>
      <c r="K71" s="3" t="b">
        <f>GOTO(L62)</f>
        <v>1</v>
      </c>
      <c r="L71" s="3" t="b">
        <f>GOTO(M62)</f>
        <v>1</v>
      </c>
      <c r="M71" s="3" t="b">
        <f>GOTO(N62)</f>
        <v>1</v>
      </c>
      <c r="N71" s="3" t="b">
        <f>GOTO(O61)</f>
        <v>1</v>
      </c>
      <c r="O71" s="5" t="b">
        <f>GOTO(Main.DlgRows)</f>
        <v>1</v>
      </c>
    </row>
    <row r="74" spans="6:33" x14ac:dyDescent="0.2">
      <c r="F74" s="2">
        <f>COUNT(H74:H80)</f>
        <v>4</v>
      </c>
      <c r="G74" s="1" t="s">
        <v>33</v>
      </c>
      <c r="H74" s="1" t="s">
        <v>0</v>
      </c>
      <c r="I74" s="1" t="s">
        <v>27</v>
      </c>
      <c r="J74" s="1" t="s">
        <v>28</v>
      </c>
      <c r="K74" s="1" t="s">
        <v>29</v>
      </c>
      <c r="L74" s="1" t="s">
        <v>30</v>
      </c>
      <c r="M74" s="1" t="s">
        <v>31</v>
      </c>
      <c r="N74" s="1" t="s">
        <v>32</v>
      </c>
    </row>
    <row r="75" spans="6:33" x14ac:dyDescent="0.2">
      <c r="F75" s="3" t="s">
        <v>34</v>
      </c>
      <c r="G75" s="2">
        <v>0</v>
      </c>
      <c r="H75" s="2"/>
      <c r="I75" s="2"/>
      <c r="J75" s="2"/>
      <c r="K75" s="2"/>
      <c r="L75" s="2"/>
      <c r="M75" t="s">
        <v>74</v>
      </c>
    </row>
    <row r="76" spans="6:33" x14ac:dyDescent="0.2">
      <c r="F76" s="3" t="str">
        <f>_xlfn.XLOOKUP(MOD(H76,100),$B$3:$B$26,$C$3:$C$26)</f>
        <v>Check box</v>
      </c>
      <c r="G76" s="2">
        <f>G75+1</f>
        <v>1</v>
      </c>
      <c r="H76" s="2">
        <v>13</v>
      </c>
      <c r="I76" s="2">
        <v>10</v>
      </c>
      <c r="J76" s="2">
        <v>10</v>
      </c>
      <c r="K76" s="2"/>
      <c r="L76" s="2"/>
      <c r="M76" t="s">
        <v>61</v>
      </c>
      <c r="N76">
        <v>99</v>
      </c>
    </row>
    <row r="77" spans="6:33" x14ac:dyDescent="0.2">
      <c r="F77" s="3" t="str">
        <f>_xlfn.XLOOKUP(MOD(H77,100),$B$3:$B$26,$C$3:$C$26)</f>
        <v>Check box</v>
      </c>
      <c r="G77" s="2">
        <f t="shared" ref="G77:G79" si="43">G76+1</f>
        <v>2</v>
      </c>
      <c r="H77" s="2">
        <v>13</v>
      </c>
      <c r="I77" s="2">
        <v>10</v>
      </c>
      <c r="J77" s="2">
        <f>J76+20</f>
        <v>30</v>
      </c>
      <c r="K77" s="2"/>
      <c r="L77" s="2"/>
      <c r="M77" t="s">
        <v>72</v>
      </c>
      <c r="N77" t="e">
        <v>#N/A</v>
      </c>
    </row>
    <row r="78" spans="6:33" x14ac:dyDescent="0.2">
      <c r="F78" s="3" t="str">
        <f>_xlfn.XLOOKUP(MOD(H78,100),$B$3:$B$26,$C$3:$C$26)</f>
        <v>Check box</v>
      </c>
      <c r="G78" s="2">
        <f t="shared" si="43"/>
        <v>3</v>
      </c>
      <c r="H78" s="2">
        <v>113</v>
      </c>
      <c r="I78" s="2">
        <v>10</v>
      </c>
      <c r="J78" s="2">
        <f t="shared" ref="J78:J79" si="44">J77+20</f>
        <v>50</v>
      </c>
      <c r="K78" s="2"/>
      <c r="L78" s="2"/>
      <c r="M78" t="s">
        <v>73</v>
      </c>
      <c r="N78">
        <v>0</v>
      </c>
    </row>
    <row r="79" spans="6:33" x14ac:dyDescent="0.2">
      <c r="F79" s="3" t="str">
        <f t="shared" ref="F79" si="45">_xlfn.XLOOKUP(MOD(H79,100),$B$3:$B$26,$C$3:$C$26)</f>
        <v>OK button</v>
      </c>
      <c r="G79" s="2">
        <f t="shared" si="43"/>
        <v>4</v>
      </c>
      <c r="H79" s="2">
        <v>3</v>
      </c>
      <c r="I79" s="2">
        <v>10</v>
      </c>
      <c r="J79" s="2">
        <f t="shared" si="44"/>
        <v>70</v>
      </c>
      <c r="K79" s="2"/>
      <c r="L79" s="2"/>
      <c r="M79" t="s">
        <v>36</v>
      </c>
    </row>
    <row r="80" spans="6:33" x14ac:dyDescent="0.2">
      <c r="F80" s="3" t="b">
        <f>GOTO(G74)</f>
        <v>1</v>
      </c>
      <c r="G80" s="3" t="b">
        <f>GOTO(H74)</f>
        <v>1</v>
      </c>
      <c r="H80" s="3" t="b">
        <f>GOTO(I74)</f>
        <v>1</v>
      </c>
      <c r="I80" s="3" t="b">
        <f>GOTO(J74)</f>
        <v>1</v>
      </c>
      <c r="J80" s="3" t="b">
        <f>GOTO(K74)</f>
        <v>1</v>
      </c>
      <c r="K80" s="3" t="b">
        <f>GOTO(L74)</f>
        <v>1</v>
      </c>
      <c r="L80" s="3" t="b">
        <f>GOTO(M74)</f>
        <v>1</v>
      </c>
      <c r="M80" s="3" t="b">
        <f>GOTO(N74)</f>
        <v>1</v>
      </c>
      <c r="N80" s="3" t="b">
        <f>GOTO(O73)</f>
        <v>1</v>
      </c>
      <c r="O80" s="5" t="b">
        <f>GOTO(Main.DlgRows)</f>
        <v>1</v>
      </c>
    </row>
    <row r="83" spans="6:15" x14ac:dyDescent="0.2">
      <c r="F83" s="2">
        <f>COUNT(H83:H90)</f>
        <v>5</v>
      </c>
      <c r="G83" s="1" t="s">
        <v>33</v>
      </c>
      <c r="H83" s="1" t="s">
        <v>0</v>
      </c>
      <c r="I83" s="1" t="s">
        <v>27</v>
      </c>
      <c r="J83" s="1" t="s">
        <v>28</v>
      </c>
      <c r="K83" s="1" t="s">
        <v>29</v>
      </c>
      <c r="L83" s="1" t="s">
        <v>30</v>
      </c>
      <c r="M83" s="1" t="s">
        <v>31</v>
      </c>
      <c r="N83" s="1" t="s">
        <v>32</v>
      </c>
    </row>
    <row r="84" spans="6:15" x14ac:dyDescent="0.2">
      <c r="F84" s="3" t="s">
        <v>34</v>
      </c>
      <c r="G84" s="2">
        <v>0</v>
      </c>
      <c r="H84" s="2"/>
      <c r="I84" s="2"/>
      <c r="J84" s="2"/>
      <c r="K84" s="2"/>
      <c r="L84" s="2"/>
      <c r="M84" t="s">
        <v>75</v>
      </c>
    </row>
    <row r="85" spans="6:15" x14ac:dyDescent="0.2">
      <c r="F85" s="3" t="str">
        <f>_xlfn.XLOOKUP(MOD(H85,100),$B$3:$B$26,$C$3:$C$26)</f>
        <v>Directory text box</v>
      </c>
      <c r="G85" s="2">
        <f>G84+1</f>
        <v>1</v>
      </c>
      <c r="H85" s="2">
        <v>20</v>
      </c>
      <c r="I85" s="2"/>
      <c r="J85" s="2"/>
      <c r="K85" s="2">
        <v>400</v>
      </c>
      <c r="L85" s="2"/>
    </row>
    <row r="86" spans="6:15" x14ac:dyDescent="0.2">
      <c r="F86" s="3" t="str">
        <f>_xlfn.XLOOKUP(MOD(H86,100),$B$3:$B$26,$C$3:$C$26)</f>
        <v>Text edit box</v>
      </c>
      <c r="G86" s="2">
        <f t="shared" ref="G86:G89" si="46">G85+1</f>
        <v>2</v>
      </c>
      <c r="H86" s="2">
        <v>6</v>
      </c>
      <c r="I86" s="2"/>
      <c r="J86" s="2"/>
      <c r="K86" s="2">
        <v>390</v>
      </c>
      <c r="L86" s="2"/>
    </row>
    <row r="87" spans="6:15" x14ac:dyDescent="0.2">
      <c r="F87" s="3" t="str">
        <f>_xlfn.XLOOKUP(MOD(H87,100),$B$3:$B$26,$C$3:$C$26)</f>
        <v>Linked file list box</v>
      </c>
      <c r="G87" s="2">
        <f t="shared" si="46"/>
        <v>3</v>
      </c>
      <c r="H87" s="2">
        <v>18</v>
      </c>
      <c r="I87" s="2"/>
      <c r="J87" s="2"/>
      <c r="K87" s="2">
        <v>390</v>
      </c>
      <c r="L87" s="2"/>
    </row>
    <row r="88" spans="6:15" x14ac:dyDescent="0.2">
      <c r="F88" s="3" t="str">
        <f t="shared" ref="F88" si="47">_xlfn.XLOOKUP(MOD(H88,100),$B$3:$B$26,$C$3:$C$26)</f>
        <v>Linked drive and directory box</v>
      </c>
      <c r="G88" s="2">
        <f t="shared" si="46"/>
        <v>4</v>
      </c>
      <c r="H88" s="2">
        <v>19</v>
      </c>
      <c r="I88" s="2"/>
      <c r="J88" s="2"/>
      <c r="K88" s="2">
        <v>390</v>
      </c>
      <c r="L88" s="2"/>
    </row>
    <row r="89" spans="6:15" x14ac:dyDescent="0.2">
      <c r="F89" s="3" t="str">
        <f t="shared" ref="F89" si="48">_xlfn.XLOOKUP(MOD(H89,100),$B$3:$B$26,$C$3:$C$26)</f>
        <v>Default OK button</v>
      </c>
      <c r="G89" s="2">
        <f t="shared" si="46"/>
        <v>5</v>
      </c>
      <c r="H89" s="2">
        <v>1</v>
      </c>
      <c r="I89" s="2"/>
      <c r="J89" s="2"/>
      <c r="K89" s="2"/>
      <c r="L89" s="2"/>
      <c r="M89" t="s">
        <v>36</v>
      </c>
    </row>
    <row r="90" spans="6:15" x14ac:dyDescent="0.2">
      <c r="F90" s="3" t="b">
        <f>GOTO(G83)</f>
        <v>1</v>
      </c>
      <c r="G90" s="3" t="b">
        <f>GOTO(H83)</f>
        <v>1</v>
      </c>
      <c r="H90" s="3" t="b">
        <f>GOTO(I83)</f>
        <v>1</v>
      </c>
      <c r="I90" s="3" t="b">
        <f>GOTO(J83)</f>
        <v>1</v>
      </c>
      <c r="J90" s="3" t="b">
        <f>GOTO(K83)</f>
        <v>1</v>
      </c>
      <c r="K90" s="3" t="b">
        <f>GOTO(L83)</f>
        <v>1</v>
      </c>
      <c r="L90" s="3" t="b">
        <f>GOTO(M83)</f>
        <v>1</v>
      </c>
      <c r="M90" s="3" t="b">
        <f>GOTO(N83)</f>
        <v>1</v>
      </c>
      <c r="N90" s="3" t="b">
        <f>GOTO(O82)</f>
        <v>1</v>
      </c>
      <c r="O90" s="5" t="b">
        <f>GOTO(Main.DlgRows)</f>
        <v>1</v>
      </c>
    </row>
  </sheetData>
  <autoFilter ref="AL2:AR7" xr:uid="{890542DF-FBC2-48CC-BCE2-8CF072A2B028}"/>
  <dataConsolidate/>
  <pageMargins left="0.7" right="0.7" top="0.75" bottom="0.75" header="0.3" footer="0.3"/>
  <pageSetup paperSize="9" orientation="portrait" r:id="rId1"/>
  <drawing r:id="rId2"/>
  <legacyDrawing r:id="rId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1A8D3E3-E64B-4877-ABDF-0E54928CFF27}">
  <dimension ref="B1:Z71"/>
  <sheetViews>
    <sheetView tabSelected="1" zoomScaleNormal="100" workbookViewId="0"/>
  </sheetViews>
  <sheetFormatPr defaultRowHeight="11.25" x14ac:dyDescent="0.2"/>
  <cols>
    <col min="1" max="1" width="3.83203125" customWidth="1"/>
    <col min="2" max="2" width="4.83203125" customWidth="1"/>
    <col min="3" max="3" width="30.83203125" customWidth="1"/>
    <col min="5" max="5" width="3.83203125" customWidth="1"/>
    <col min="6" max="6" width="16.83203125" customWidth="1"/>
    <col min="7" max="7" width="4.83203125" customWidth="1"/>
    <col min="8" max="16" width="9.33203125" customWidth="1"/>
    <col min="22" max="23" width="9.33203125" customWidth="1"/>
    <col min="25" max="25" width="4.83203125" customWidth="1"/>
  </cols>
  <sheetData>
    <row r="1" spans="2:26" x14ac:dyDescent="0.2">
      <c r="H1" s="2">
        <v>1</v>
      </c>
      <c r="I1" s="2">
        <v>2</v>
      </c>
      <c r="J1" s="2">
        <v>3</v>
      </c>
      <c r="K1" s="2">
        <v>4</v>
      </c>
      <c r="L1" s="2">
        <v>5</v>
      </c>
      <c r="M1" s="2">
        <v>6</v>
      </c>
      <c r="N1" s="2">
        <v>7</v>
      </c>
      <c r="Q1" s="6"/>
      <c r="R1" s="6"/>
      <c r="S1" s="6"/>
      <c r="T1" s="6">
        <v>200</v>
      </c>
      <c r="U1" s="6"/>
      <c r="V1" s="6" t="s">
        <v>19</v>
      </c>
      <c r="W1" s="6"/>
      <c r="Y1" s="19"/>
      <c r="Z1" s="19" t="str">
        <f>CsCode(Y1,Q1:W1)</f>
        <v>var dialog = new Dialog { Width = 200, Title = "Icons",  }</v>
      </c>
    </row>
    <row r="2" spans="2:26" x14ac:dyDescent="0.2">
      <c r="B2" s="1" t="s">
        <v>33</v>
      </c>
      <c r="C2" s="1" t="s">
        <v>2</v>
      </c>
      <c r="D2" s="18">
        <v>70</v>
      </c>
      <c r="F2" s="2">
        <f>COUNT(H2:H8)</f>
        <v>4</v>
      </c>
      <c r="G2" s="1" t="s">
        <v>33</v>
      </c>
      <c r="H2" s="1" t="s">
        <v>0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Q2" s="6">
        <v>17</v>
      </c>
      <c r="R2" s="6">
        <v>20</v>
      </c>
      <c r="S2" s="6">
        <v>10</v>
      </c>
      <c r="T2" s="6"/>
      <c r="U2" s="6"/>
      <c r="V2" s="6">
        <v>1</v>
      </c>
      <c r="W2" s="6"/>
      <c r="Y2" s="19"/>
      <c r="Z2" s="19" t="str">
        <f t="shared" ref="Z2:Z65" si="0">CsCode(Y2,Q2:W2)</f>
        <v xml:space="preserve">  .Add(new Icon(Icon.Style.Question) { Left = 20, Top = 10,  })</v>
      </c>
    </row>
    <row r="3" spans="2:26" x14ac:dyDescent="0.2">
      <c r="B3" s="2">
        <v>1</v>
      </c>
      <c r="C3" t="s">
        <v>3</v>
      </c>
      <c r="D3" s="4" t="b">
        <v>0</v>
      </c>
      <c r="F3" s="3" t="s">
        <v>34</v>
      </c>
      <c r="G3" s="2">
        <v>0</v>
      </c>
      <c r="H3" s="2"/>
      <c r="I3" s="2"/>
      <c r="J3" s="2"/>
      <c r="K3" s="2">
        <v>200</v>
      </c>
      <c r="L3" s="2"/>
      <c r="M3" t="s">
        <v>19</v>
      </c>
      <c r="Q3" s="6">
        <v>17</v>
      </c>
      <c r="R3" s="6">
        <v>80</v>
      </c>
      <c r="S3" s="6"/>
      <c r="T3" s="6"/>
      <c r="U3" s="6"/>
      <c r="V3" s="6">
        <v>2</v>
      </c>
      <c r="W3" s="6"/>
      <c r="Y3" s="19"/>
      <c r="Z3" s="19" t="str">
        <f t="shared" si="0"/>
        <v xml:space="preserve">  .Add(new Icon(Icon.Style.Information) { Left = 80,  })</v>
      </c>
    </row>
    <row r="4" spans="2:26" x14ac:dyDescent="0.2">
      <c r="B4" s="2">
        <v>2</v>
      </c>
      <c r="C4" t="s">
        <v>4</v>
      </c>
      <c r="D4" t="b">
        <f>ECHO(D3)</f>
        <v>1</v>
      </c>
      <c r="F4" s="3" t="str">
        <f>_xlfn.XLOOKUP(MOD(H4,100),$B$3:$B$26,$C$3:$C$26)</f>
        <v>Icons</v>
      </c>
      <c r="G4" s="2">
        <f>G3+1</f>
        <v>1</v>
      </c>
      <c r="H4" s="2">
        <v>17</v>
      </c>
      <c r="I4" s="2">
        <v>20</v>
      </c>
      <c r="J4" s="2">
        <v>10</v>
      </c>
      <c r="K4" s="2"/>
      <c r="L4" s="2"/>
      <c r="M4">
        <v>1</v>
      </c>
      <c r="Q4" s="6">
        <v>17</v>
      </c>
      <c r="R4" s="6">
        <v>140</v>
      </c>
      <c r="S4" s="6"/>
      <c r="T4" s="6"/>
      <c r="U4" s="6"/>
      <c r="V4" s="6">
        <v>3</v>
      </c>
      <c r="W4" s="6"/>
      <c r="Y4" s="19"/>
      <c r="Z4" s="19" t="str">
        <f t="shared" si="0"/>
        <v xml:space="preserve">  .Add(new Icon(Icon.Style.Warning) { Left = 140,  })</v>
      </c>
    </row>
    <row r="5" spans="2:26" x14ac:dyDescent="0.2">
      <c r="B5" s="2">
        <v>3</v>
      </c>
      <c r="C5" t="s">
        <v>5</v>
      </c>
      <c r="D5" t="b">
        <f>GOTO(DialogRefs)</f>
        <v>1</v>
      </c>
      <c r="F5" s="3" t="str">
        <f>_xlfn.XLOOKUP(MOD(H5,100),$B$3:$B$26,$C$3:$C$26)</f>
        <v>Icons</v>
      </c>
      <c r="G5" s="2">
        <f>G4+1</f>
        <v>2</v>
      </c>
      <c r="H5" s="2">
        <v>17</v>
      </c>
      <c r="I5" s="2">
        <v>80</v>
      </c>
      <c r="J5" s="2"/>
      <c r="K5" s="2"/>
      <c r="L5" s="2"/>
      <c r="M5">
        <v>2</v>
      </c>
      <c r="Q5" s="6">
        <v>3</v>
      </c>
      <c r="R5" s="6">
        <v>55</v>
      </c>
      <c r="S5" s="6">
        <v>50</v>
      </c>
      <c r="T5" s="6">
        <v>88</v>
      </c>
      <c r="U5" s="6"/>
      <c r="V5" s="6" t="s">
        <v>36</v>
      </c>
      <c r="W5" s="6"/>
      <c r="Y5" s="19"/>
      <c r="Z5" s="19" t="str">
        <f t="shared" si="0"/>
        <v xml:space="preserve">  .Add(new OkButton { Left = 55, Top = 50, Width = 88, Text = "OK",  })</v>
      </c>
    </row>
    <row r="6" spans="2:26" x14ac:dyDescent="0.2">
      <c r="B6" s="2">
        <v>4</v>
      </c>
      <c r="C6" t="s">
        <v>6</v>
      </c>
      <c r="D6" s="2" t="str">
        <f>INDEX(DialogRefs,1+B32,3)</f>
        <v>$F$2</v>
      </c>
      <c r="F6" s="3" t="str">
        <f>_xlfn.XLOOKUP(MOD(H6,100),$B$3:$B$26,$C$3:$C$26)</f>
        <v>Icons</v>
      </c>
      <c r="G6" s="2">
        <f>G5+1</f>
        <v>3</v>
      </c>
      <c r="H6" s="2">
        <v>17</v>
      </c>
      <c r="I6" s="2">
        <v>140</v>
      </c>
      <c r="J6" s="2"/>
      <c r="K6" s="2"/>
      <c r="L6" s="2"/>
      <c r="M6">
        <v>3</v>
      </c>
      <c r="Q6" s="6"/>
      <c r="R6" s="6"/>
      <c r="S6" s="6"/>
      <c r="T6" s="6"/>
      <c r="U6" s="6"/>
      <c r="V6" s="6"/>
      <c r="W6" s="6"/>
      <c r="Y6" s="19"/>
      <c r="Z6" s="19" t="str">
        <f t="shared" si="0"/>
        <v>;</v>
      </c>
    </row>
    <row r="7" spans="2:26" x14ac:dyDescent="0.2">
      <c r="B7" s="2">
        <v>5</v>
      </c>
      <c r="C7" t="s">
        <v>7</v>
      </c>
      <c r="D7" t="b">
        <f>COPY(INDEX(DialogRefs,1+B32,2),C32)</f>
        <v>1</v>
      </c>
      <c r="F7" s="3" t="str">
        <f>_xlfn.XLOOKUP(MOD(H7,100),$B$3:$B$26,$C$3:$C$26)</f>
        <v>OK button</v>
      </c>
      <c r="G7" s="2">
        <f>G6+1</f>
        <v>4</v>
      </c>
      <c r="H7" s="2">
        <v>3</v>
      </c>
      <c r="I7" s="2">
        <v>55</v>
      </c>
      <c r="J7" s="2">
        <v>50</v>
      </c>
      <c r="K7" s="2">
        <v>88</v>
      </c>
      <c r="L7" s="2"/>
      <c r="M7" t="s">
        <v>36</v>
      </c>
      <c r="Q7" s="6"/>
      <c r="R7" s="6"/>
      <c r="S7" s="6"/>
      <c r="T7" s="6"/>
      <c r="U7" s="6"/>
      <c r="V7" s="6"/>
      <c r="W7" s="6"/>
      <c r="Y7" s="19"/>
      <c r="Z7" s="19" t="str">
        <f t="shared" si="0"/>
        <v/>
      </c>
    </row>
    <row r="8" spans="2:26" x14ac:dyDescent="0.2">
      <c r="B8" s="2">
        <v>6</v>
      </c>
      <c r="C8" t="s">
        <v>8</v>
      </c>
      <c r="D8" t="b">
        <f>GOTO(INDIRECT(D6))</f>
        <v>1</v>
      </c>
      <c r="F8" s="14" t="b">
        <f>GOTO(G2)</f>
        <v>1</v>
      </c>
      <c r="G8" s="14" t="b">
        <f>GOTO(H2)</f>
        <v>1</v>
      </c>
      <c r="H8" s="14" t="b">
        <f>GOTO(I2)</f>
        <v>1</v>
      </c>
      <c r="I8" s="14" t="b">
        <f>GOTO(J2)</f>
        <v>1</v>
      </c>
      <c r="J8" s="14" t="b">
        <f>GOTO(K2)</f>
        <v>1</v>
      </c>
      <c r="K8" s="14" t="b">
        <f>GOTO(L2)</f>
        <v>1</v>
      </c>
      <c r="L8" s="14" t="b">
        <f>GOTO(M2)</f>
        <v>1</v>
      </c>
      <c r="M8" s="14" t="b">
        <f>GOTO(N2)</f>
        <v>1</v>
      </c>
      <c r="N8" s="5" t="b">
        <f>GOTO(Main.DlgRows)</f>
        <v>1</v>
      </c>
      <c r="Q8" s="6"/>
      <c r="R8" s="6"/>
      <c r="S8" s="6"/>
      <c r="T8" s="6"/>
      <c r="U8" s="6"/>
      <c r="V8" s="6"/>
      <c r="W8" s="6"/>
      <c r="Y8" s="19"/>
      <c r="Z8" s="19" t="str">
        <f t="shared" si="0"/>
        <v/>
      </c>
    </row>
    <row r="9" spans="2:26" x14ac:dyDescent="0.2">
      <c r="B9" s="2">
        <v>7</v>
      </c>
      <c r="C9" t="s">
        <v>9</v>
      </c>
      <c r="D9" s="2">
        <f>1+INDIRECT(D6)</f>
        <v>5</v>
      </c>
      <c r="Q9" s="6"/>
      <c r="R9" s="6"/>
      <c r="S9" s="6"/>
      <c r="T9" s="6"/>
      <c r="U9" s="6"/>
      <c r="V9" s="6"/>
      <c r="W9" s="6"/>
      <c r="Y9" s="19"/>
      <c r="Z9" s="19" t="str">
        <f t="shared" si="0"/>
        <v/>
      </c>
    </row>
    <row r="10" spans="2:26" x14ac:dyDescent="0.2">
      <c r="B10" s="2">
        <v>8</v>
      </c>
      <c r="C10" t="s">
        <v>10</v>
      </c>
      <c r="D10" t="b">
        <f>SELECT(OFFSET(DialogTable,0,0,D2,7))</f>
        <v>1</v>
      </c>
      <c r="Q10" s="6"/>
      <c r="R10" s="6"/>
      <c r="S10" s="6"/>
      <c r="T10" s="6"/>
      <c r="U10" s="6"/>
      <c r="V10" s="6"/>
      <c r="W10" s="6"/>
      <c r="Y10" s="19"/>
      <c r="Z10" s="19" t="str">
        <f t="shared" si="0"/>
        <v/>
      </c>
    </row>
    <row r="11" spans="2:26" x14ac:dyDescent="0.2">
      <c r="B11" s="2">
        <v>9</v>
      </c>
      <c r="C11" t="s">
        <v>11</v>
      </c>
      <c r="D11" t="b">
        <f>CLEAR(3)</f>
        <v>1</v>
      </c>
      <c r="F11" s="2">
        <f>COUNT(H11:H22)</f>
        <v>9</v>
      </c>
      <c r="G11" s="1" t="s">
        <v>33</v>
      </c>
      <c r="H11" s="1" t="s">
        <v>0</v>
      </c>
      <c r="I11" s="1" t="s">
        <v>27</v>
      </c>
      <c r="J11" s="1" t="s">
        <v>28</v>
      </c>
      <c r="K11" s="1" t="s">
        <v>29</v>
      </c>
      <c r="L11" s="1" t="s">
        <v>30</v>
      </c>
      <c r="M11" s="1" t="s">
        <v>31</v>
      </c>
      <c r="N11" s="1" t="s">
        <v>32</v>
      </c>
      <c r="Q11" s="6"/>
      <c r="R11" s="6"/>
      <c r="S11" s="6"/>
      <c r="T11" s="6"/>
      <c r="U11" s="6"/>
      <c r="V11" s="6"/>
      <c r="W11" s="6"/>
      <c r="Y11" s="19"/>
      <c r="Z11" s="19" t="str">
        <f t="shared" si="0"/>
        <v/>
      </c>
    </row>
    <row r="12" spans="2:26" x14ac:dyDescent="0.2">
      <c r="B12" s="2">
        <v>10</v>
      </c>
      <c r="C12" t="s">
        <v>12</v>
      </c>
      <c r="D12" t="b">
        <f>COPY(OFFSET(INDIRECT(D6),1,2,D9,7))</f>
        <v>1</v>
      </c>
      <c r="F12" s="3" t="s">
        <v>34</v>
      </c>
      <c r="G12" s="2">
        <v>0</v>
      </c>
      <c r="H12" s="2"/>
      <c r="I12" s="2"/>
      <c r="J12" s="2"/>
      <c r="K12" s="2">
        <v>494</v>
      </c>
      <c r="L12" s="2">
        <v>276</v>
      </c>
      <c r="M12" t="s">
        <v>101</v>
      </c>
      <c r="N12">
        <v>5</v>
      </c>
      <c r="Q12" s="6"/>
      <c r="R12" s="6"/>
      <c r="S12" s="6"/>
      <c r="T12" s="6"/>
      <c r="U12" s="6"/>
      <c r="V12" s="6"/>
      <c r="W12" s="6"/>
      <c r="Y12" s="19"/>
      <c r="Z12" s="19" t="str">
        <f t="shared" si="0"/>
        <v/>
      </c>
    </row>
    <row r="13" spans="2:26" x14ac:dyDescent="0.2">
      <c r="B13" s="2">
        <v>11</v>
      </c>
      <c r="C13" t="s">
        <v>13</v>
      </c>
      <c r="D13" t="b">
        <f>SELECT(DialogTable)</f>
        <v>1</v>
      </c>
      <c r="F13" s="3" t="str">
        <f>_xlfn.XLOOKUP(MOD(H13,100),$B$3:$B$26,$C$3:$C$26)</f>
        <v>Group box</v>
      </c>
      <c r="G13" s="2">
        <f>G12+1</f>
        <v>1</v>
      </c>
      <c r="H13" s="2">
        <v>14</v>
      </c>
      <c r="I13" s="2">
        <v>10</v>
      </c>
      <c r="J13" s="2">
        <v>8</v>
      </c>
      <c r="K13" s="2">
        <v>472</v>
      </c>
      <c r="L13" s="2">
        <v>45</v>
      </c>
      <c r="M13" t="s">
        <v>107</v>
      </c>
      <c r="Q13" s="6"/>
      <c r="R13" s="6"/>
      <c r="S13" s="6"/>
      <c r="T13" s="6"/>
      <c r="U13" s="6"/>
      <c r="V13" s="6"/>
      <c r="W13" s="6"/>
      <c r="Y13" s="19"/>
      <c r="Z13" s="19" t="str">
        <f t="shared" si="0"/>
        <v/>
      </c>
    </row>
    <row r="14" spans="2:26" x14ac:dyDescent="0.2">
      <c r="B14" s="2">
        <v>12</v>
      </c>
      <c r="C14" t="s">
        <v>14</v>
      </c>
      <c r="D14" t="b">
        <f>PASTE.SPECIAL(3,1,FALSE,FALSE)</f>
        <v>1</v>
      </c>
      <c r="F14" s="3" t="str">
        <f>_xlfn.XLOOKUP(MOD(H14,100),$B$3:$B$26,$C$3:$C$26)</f>
        <v>OK button</v>
      </c>
      <c r="G14" s="2">
        <f>G13+1</f>
        <v>2</v>
      </c>
      <c r="H14" s="2">
        <v>3</v>
      </c>
      <c r="I14" s="2">
        <v>20</v>
      </c>
      <c r="J14" s="2">
        <v>24</v>
      </c>
      <c r="K14" s="2">
        <v>32</v>
      </c>
      <c r="L14" s="2"/>
      <c r="M14" t="s">
        <v>106</v>
      </c>
      <c r="Q14" s="6"/>
      <c r="R14" s="6"/>
      <c r="S14" s="6"/>
      <c r="T14" s="6"/>
      <c r="U14" s="6"/>
      <c r="V14" s="6"/>
      <c r="W14" s="6"/>
      <c r="Y14" s="19"/>
      <c r="Z14" s="19" t="str">
        <f t="shared" si="0"/>
        <v/>
      </c>
    </row>
    <row r="15" spans="2:26" x14ac:dyDescent="0.2">
      <c r="B15" s="2">
        <v>13</v>
      </c>
      <c r="C15" t="s">
        <v>15</v>
      </c>
      <c r="D15" s="2" t="b">
        <f>GOTO(DialogTable)</f>
        <v>1</v>
      </c>
      <c r="F15" s="3" t="str">
        <f>_xlfn.XLOOKUP(MOD(H15,100),$B$3:$B$26,$C$3:$C$26)</f>
        <v>Directory text box</v>
      </c>
      <c r="G15" s="2">
        <f>G14+1</f>
        <v>3</v>
      </c>
      <c r="H15" s="2">
        <v>20</v>
      </c>
      <c r="I15" s="2">
        <v>58</v>
      </c>
      <c r="J15" s="2">
        <v>28</v>
      </c>
      <c r="K15" s="2">
        <v>400</v>
      </c>
      <c r="L15" s="2"/>
      <c r="Q15" s="6"/>
      <c r="R15" s="6"/>
      <c r="S15" s="6"/>
      <c r="T15" s="6"/>
      <c r="U15" s="6"/>
      <c r="V15" s="6"/>
      <c r="W15" s="6"/>
      <c r="Y15" s="19"/>
      <c r="Z15" s="19" t="str">
        <f t="shared" si="0"/>
        <v/>
      </c>
    </row>
    <row r="16" spans="2:26" x14ac:dyDescent="0.2">
      <c r="B16" s="2">
        <v>14</v>
      </c>
      <c r="C16" t="s">
        <v>16</v>
      </c>
      <c r="D16" s="2">
        <f>1+COUNT(OFFSET(DialogTable,0,0,D2,1))</f>
        <v>5</v>
      </c>
      <c r="F16" s="3" t="str">
        <f>_xlfn.XLOOKUP(MOD(H16,100),$B$3:$B$26,$C$3:$C$26)</f>
        <v>Group box</v>
      </c>
      <c r="G16" s="2">
        <f>G15+1</f>
        <v>4</v>
      </c>
      <c r="H16" s="2">
        <v>14</v>
      </c>
      <c r="I16" s="2">
        <v>10</v>
      </c>
      <c r="J16" s="2">
        <v>55</v>
      </c>
      <c r="K16" s="2">
        <v>472</v>
      </c>
      <c r="L16" s="2">
        <v>186</v>
      </c>
      <c r="M16" t="s">
        <v>105</v>
      </c>
      <c r="Q16" s="6"/>
      <c r="R16" s="6"/>
      <c r="S16" s="6"/>
      <c r="T16" s="6"/>
      <c r="U16" s="6"/>
      <c r="V16" s="6"/>
      <c r="W16" s="6"/>
      <c r="Y16" s="19"/>
      <c r="Z16" s="19" t="str">
        <f t="shared" si="0"/>
        <v/>
      </c>
    </row>
    <row r="17" spans="2:26" x14ac:dyDescent="0.2">
      <c r="B17" s="2">
        <v>15</v>
      </c>
      <c r="C17" t="s">
        <v>17</v>
      </c>
      <c r="D17" s="7">
        <f>DIALOG.BOX(OFFSET(DialogTable,0,0,D16,7))</f>
        <v>4</v>
      </c>
      <c r="F17" s="3" t="str">
        <f>_xlfn.XLOOKUP(MOD(H17,100),$B$3:$B$26,$C$3:$C$26)</f>
        <v>Text edit box</v>
      </c>
      <c r="G17" s="2">
        <f>G16+1</f>
        <v>5</v>
      </c>
      <c r="H17" s="2">
        <v>6</v>
      </c>
      <c r="I17" s="2">
        <v>20</v>
      </c>
      <c r="J17" s="2">
        <v>72</v>
      </c>
      <c r="K17" s="2">
        <v>220</v>
      </c>
      <c r="L17" s="2"/>
      <c r="Q17" s="6"/>
      <c r="R17" s="6"/>
      <c r="S17" s="6"/>
      <c r="T17" s="6"/>
      <c r="U17" s="6"/>
      <c r="V17" s="6"/>
      <c r="W17" s="6"/>
      <c r="Y17" s="19"/>
      <c r="Z17" s="19" t="str">
        <f t="shared" si="0"/>
        <v/>
      </c>
    </row>
    <row r="18" spans="2:26" x14ac:dyDescent="0.2">
      <c r="B18" s="2">
        <v>16</v>
      </c>
      <c r="C18" t="s">
        <v>18</v>
      </c>
      <c r="D18" t="b">
        <f>COPY(D17)</f>
        <v>1</v>
      </c>
      <c r="F18" s="3" t="str">
        <f>_xlfn.XLOOKUP(MOD(H18,100),$B$3:$B$26,$C$3:$C$26)</f>
        <v>Linked file list box</v>
      </c>
      <c r="G18" s="2">
        <f>G17+1</f>
        <v>6</v>
      </c>
      <c r="H18" s="2">
        <v>18</v>
      </c>
      <c r="I18" s="2">
        <v>250</v>
      </c>
      <c r="J18" s="2">
        <v>72</v>
      </c>
      <c r="K18" s="2">
        <v>220</v>
      </c>
      <c r="L18" s="2">
        <v>160</v>
      </c>
      <c r="Q18" s="6"/>
      <c r="R18" s="6"/>
      <c r="S18" s="6"/>
      <c r="T18" s="6"/>
      <c r="U18" s="6"/>
      <c r="V18" s="6"/>
      <c r="W18" s="6"/>
      <c r="Y18" s="19"/>
      <c r="Z18" s="19" t="str">
        <f t="shared" si="0"/>
        <v/>
      </c>
    </row>
    <row r="19" spans="2:26" x14ac:dyDescent="0.2">
      <c r="B19" s="2">
        <v>17</v>
      </c>
      <c r="C19" t="s">
        <v>19</v>
      </c>
      <c r="D19" t="b">
        <f>SELECT(D32)</f>
        <v>1</v>
      </c>
      <c r="F19" s="3" t="str">
        <f>_xlfn.XLOOKUP(MOD(H19,100),$B$3:$B$26,$C$3:$C$26)</f>
        <v>Linked drive and directory box</v>
      </c>
      <c r="G19" s="2">
        <f>G18+1</f>
        <v>7</v>
      </c>
      <c r="H19" s="2">
        <v>19</v>
      </c>
      <c r="I19" s="2">
        <v>20</v>
      </c>
      <c r="J19" s="2">
        <v>96</v>
      </c>
      <c r="K19" s="2">
        <v>220</v>
      </c>
      <c r="L19" s="2">
        <v>136</v>
      </c>
      <c r="Q19" s="6"/>
      <c r="R19" s="6"/>
      <c r="S19" s="6"/>
      <c r="T19" s="6"/>
      <c r="U19" s="6"/>
      <c r="V19" s="6"/>
      <c r="W19" s="6"/>
      <c r="Y19" s="19"/>
      <c r="Z19" s="19" t="str">
        <f t="shared" si="0"/>
        <v/>
      </c>
    </row>
    <row r="20" spans="2:26" x14ac:dyDescent="0.2">
      <c r="B20" s="2">
        <v>18</v>
      </c>
      <c r="C20" t="s">
        <v>25</v>
      </c>
      <c r="D20" t="b">
        <f>PASTE.SPECIAL(3,1,FALSE,FALSE)</f>
        <v>1</v>
      </c>
      <c r="F20" s="3" t="str">
        <f>_xlfn.XLOOKUP(MOD(H20,100),$B$3:$B$26,$C$3:$C$26)</f>
        <v>OK button</v>
      </c>
      <c r="G20" s="2">
        <f>G19+1</f>
        <v>8</v>
      </c>
      <c r="H20" s="2">
        <v>3</v>
      </c>
      <c r="I20" s="2">
        <v>158</v>
      </c>
      <c r="J20" s="2">
        <v>246</v>
      </c>
      <c r="K20" s="2">
        <v>80</v>
      </c>
      <c r="L20" s="2"/>
      <c r="M20" t="s">
        <v>96</v>
      </c>
      <c r="Q20" s="6"/>
      <c r="R20" s="6"/>
      <c r="S20" s="6"/>
      <c r="T20" s="6"/>
      <c r="U20" s="6"/>
      <c r="V20" s="6"/>
      <c r="W20" s="6"/>
      <c r="Y20" s="19"/>
      <c r="Z20" s="19" t="str">
        <f t="shared" si="0"/>
        <v/>
      </c>
    </row>
    <row r="21" spans="2:26" x14ac:dyDescent="0.2">
      <c r="B21" s="2">
        <v>19</v>
      </c>
      <c r="C21" t="s">
        <v>26</v>
      </c>
      <c r="D21" t="b">
        <f>GOTO(DialogCode)</f>
        <v>1</v>
      </c>
      <c r="F21" s="3" t="str">
        <f>_xlfn.XLOOKUP(MOD(H21,100),$B$3:$B$26,$C$3:$C$26)</f>
        <v>Cancel button</v>
      </c>
      <c r="G21" s="2">
        <f>G20+1</f>
        <v>9</v>
      </c>
      <c r="H21" s="2">
        <v>2</v>
      </c>
      <c r="I21" s="2">
        <v>252</v>
      </c>
      <c r="J21" s="2">
        <v>246</v>
      </c>
      <c r="K21" s="2">
        <v>80</v>
      </c>
      <c r="L21" s="2"/>
      <c r="M21" t="s">
        <v>104</v>
      </c>
      <c r="Q21" s="6"/>
      <c r="R21" s="6"/>
      <c r="S21" s="6"/>
      <c r="T21" s="6"/>
      <c r="U21" s="6"/>
      <c r="V21" s="6"/>
      <c r="W21" s="6"/>
      <c r="Y21" s="19"/>
      <c r="Z21" s="19" t="str">
        <f t="shared" si="0"/>
        <v/>
      </c>
    </row>
    <row r="22" spans="2:26" x14ac:dyDescent="0.2">
      <c r="B22" s="2">
        <v>20</v>
      </c>
      <c r="C22" t="s">
        <v>20</v>
      </c>
      <c r="D22" t="b">
        <f>HALT()</f>
        <v>1</v>
      </c>
      <c r="F22" s="14" t="b">
        <f>GOTO(G11)</f>
        <v>1</v>
      </c>
      <c r="G22" s="14" t="b">
        <f>GOTO(H11)</f>
        <v>1</v>
      </c>
      <c r="H22" s="14" t="b">
        <f>GOTO(I11)</f>
        <v>1</v>
      </c>
      <c r="I22" s="14" t="b">
        <f>GOTO(J11)</f>
        <v>1</v>
      </c>
      <c r="J22" s="14" t="b">
        <f>GOTO(K11)</f>
        <v>1</v>
      </c>
      <c r="K22" s="14" t="b">
        <f>GOTO(L11)</f>
        <v>1</v>
      </c>
      <c r="L22" s="14" t="b">
        <f>GOTO(M11)</f>
        <v>1</v>
      </c>
      <c r="M22" s="14" t="b">
        <f>GOTO(N11)</f>
        <v>1</v>
      </c>
      <c r="N22" s="5" t="b">
        <f>GOTO(Main.DlgRows)</f>
        <v>1</v>
      </c>
      <c r="Q22" s="6"/>
      <c r="R22" s="6"/>
      <c r="S22" s="6"/>
      <c r="T22" s="6"/>
      <c r="U22" s="6"/>
      <c r="V22" s="6"/>
      <c r="W22" s="6"/>
      <c r="Y22" s="19"/>
      <c r="Z22" s="19" t="str">
        <f t="shared" si="0"/>
        <v/>
      </c>
    </row>
    <row r="23" spans="2:26" x14ac:dyDescent="0.2">
      <c r="B23" s="2">
        <v>21</v>
      </c>
      <c r="C23" t="s">
        <v>21</v>
      </c>
      <c r="Q23" s="6"/>
      <c r="R23" s="6"/>
      <c r="S23" s="6"/>
      <c r="T23" s="6"/>
      <c r="U23" s="6"/>
      <c r="V23" s="6"/>
      <c r="W23" s="6"/>
      <c r="Y23" s="19"/>
      <c r="Z23" s="19" t="str">
        <f t="shared" si="0"/>
        <v/>
      </c>
    </row>
    <row r="24" spans="2:26" x14ac:dyDescent="0.2">
      <c r="B24" s="2">
        <v>22</v>
      </c>
      <c r="C24" t="s">
        <v>22</v>
      </c>
      <c r="Q24" s="6"/>
      <c r="R24" s="6"/>
      <c r="S24" s="6"/>
      <c r="T24" s="6"/>
      <c r="U24" s="6"/>
      <c r="V24" s="6"/>
      <c r="W24" s="6"/>
      <c r="Y24" s="19"/>
      <c r="Z24" s="19" t="str">
        <f t="shared" si="0"/>
        <v/>
      </c>
    </row>
    <row r="25" spans="2:26" x14ac:dyDescent="0.2">
      <c r="B25" s="2">
        <v>23</v>
      </c>
      <c r="C25" t="s">
        <v>23</v>
      </c>
      <c r="F25" s="2">
        <f>COUNT(H25:H31)</f>
        <v>4</v>
      </c>
      <c r="G25" s="1" t="s">
        <v>33</v>
      </c>
      <c r="H25" s="1" t="s">
        <v>0</v>
      </c>
      <c r="I25" s="1" t="s">
        <v>27</v>
      </c>
      <c r="J25" s="1" t="s">
        <v>28</v>
      </c>
      <c r="K25" s="1" t="s">
        <v>29</v>
      </c>
      <c r="L25" s="1" t="s">
        <v>30</v>
      </c>
      <c r="M25" s="1" t="s">
        <v>31</v>
      </c>
      <c r="N25" s="1" t="s">
        <v>32</v>
      </c>
      <c r="Q25" s="6"/>
      <c r="R25" s="6"/>
      <c r="S25" s="6"/>
      <c r="T25" s="6"/>
      <c r="U25" s="6"/>
      <c r="V25" s="6"/>
      <c r="W25" s="6"/>
      <c r="Y25" s="19"/>
      <c r="Z25" s="19" t="str">
        <f t="shared" si="0"/>
        <v/>
      </c>
    </row>
    <row r="26" spans="2:26" x14ac:dyDescent="0.2">
      <c r="B26" s="2">
        <v>24</v>
      </c>
      <c r="C26" t="s">
        <v>24</v>
      </c>
      <c r="F26" s="3" t="s">
        <v>34</v>
      </c>
      <c r="G26" s="2">
        <v>0</v>
      </c>
      <c r="H26" s="2"/>
      <c r="I26" s="2"/>
      <c r="J26" s="2"/>
      <c r="K26" s="2">
        <v>333</v>
      </c>
      <c r="L26" s="2">
        <v>240</v>
      </c>
      <c r="M26" t="s">
        <v>109</v>
      </c>
      <c r="Q26" s="6"/>
      <c r="R26" s="6"/>
      <c r="S26" s="6"/>
      <c r="T26" s="6"/>
      <c r="U26" s="6"/>
      <c r="V26" s="6"/>
      <c r="W26" s="6"/>
      <c r="Y26" s="19"/>
      <c r="Z26" s="19" t="str">
        <f t="shared" si="0"/>
        <v/>
      </c>
    </row>
    <row r="27" spans="2:26" x14ac:dyDescent="0.2">
      <c r="F27" s="3" t="str">
        <f>_xlfn.XLOOKUP(MOD(H27,100),$B$3:$B$26,$C$3:$C$26)</f>
        <v>Group box</v>
      </c>
      <c r="G27" s="2">
        <f>G26+1</f>
        <v>1</v>
      </c>
      <c r="H27" s="2">
        <v>14</v>
      </c>
      <c r="I27" s="2">
        <v>13</v>
      </c>
      <c r="J27" s="2">
        <v>13</v>
      </c>
      <c r="K27" s="2">
        <v>307</v>
      </c>
      <c r="L27" s="2">
        <v>130</v>
      </c>
      <c r="M27" t="s">
        <v>103</v>
      </c>
      <c r="Q27" s="6"/>
      <c r="R27" s="6"/>
      <c r="S27" s="6"/>
      <c r="T27" s="6"/>
      <c r="U27" s="6"/>
      <c r="V27" s="6"/>
      <c r="W27" s="6"/>
      <c r="Y27" s="19"/>
      <c r="Z27" s="19" t="str">
        <f t="shared" si="0"/>
        <v/>
      </c>
    </row>
    <row r="28" spans="2:26" x14ac:dyDescent="0.2">
      <c r="F28" s="3" t="str">
        <f>_xlfn.XLOOKUP(MOD(H28,100),$B$3:$B$26,$C$3:$C$26)</f>
        <v>List box</v>
      </c>
      <c r="G28" s="2">
        <f>G27+1</f>
        <v>2</v>
      </c>
      <c r="H28" s="2">
        <v>15</v>
      </c>
      <c r="I28" s="2">
        <v>31</v>
      </c>
      <c r="J28" s="2">
        <v>38</v>
      </c>
      <c r="K28" s="2">
        <v>270</v>
      </c>
      <c r="L28" s="2"/>
      <c r="M28" t="str">
        <f>REFTEXT(F26:F30,FALSE)</f>
        <v>R26C6:R30C6</v>
      </c>
      <c r="Q28" s="6"/>
      <c r="R28" s="6"/>
      <c r="S28" s="6"/>
      <c r="T28" s="6"/>
      <c r="U28" s="6"/>
      <c r="V28" s="6"/>
      <c r="W28" s="6"/>
      <c r="Y28" s="19"/>
      <c r="Z28" s="19" t="str">
        <f t="shared" si="0"/>
        <v/>
      </c>
    </row>
    <row r="29" spans="2:26" x14ac:dyDescent="0.2">
      <c r="F29" s="3" t="str">
        <f>_xlfn.XLOOKUP(MOD(H29,100),$B$3:$B$26,$C$3:$C$26)</f>
        <v>OK button</v>
      </c>
      <c r="G29" s="2">
        <f>G28+1</f>
        <v>3</v>
      </c>
      <c r="H29" s="2">
        <v>3</v>
      </c>
      <c r="I29" s="2">
        <v>31</v>
      </c>
      <c r="J29" s="2">
        <v>160</v>
      </c>
      <c r="K29" s="2">
        <v>270</v>
      </c>
      <c r="L29" s="2"/>
      <c r="M29" t="s">
        <v>108</v>
      </c>
      <c r="Q29" s="6"/>
      <c r="R29" s="6"/>
      <c r="S29" s="6"/>
      <c r="T29" s="6"/>
      <c r="U29" s="6"/>
      <c r="V29" s="6"/>
      <c r="W29" s="6"/>
      <c r="Y29" s="19"/>
      <c r="Z29" s="19" t="str">
        <f t="shared" si="0"/>
        <v/>
      </c>
    </row>
    <row r="30" spans="2:26" x14ac:dyDescent="0.2">
      <c r="F30" s="3" t="str">
        <f>_xlfn.XLOOKUP(MOD(H30,100),$B$3:$B$26,$C$3:$C$26)</f>
        <v>Default OK button</v>
      </c>
      <c r="G30" s="2">
        <f>G29+1</f>
        <v>4</v>
      </c>
      <c r="H30" s="2">
        <v>1</v>
      </c>
      <c r="I30" s="2">
        <v>31</v>
      </c>
      <c r="J30" s="2">
        <v>200</v>
      </c>
      <c r="K30" s="2">
        <v>100</v>
      </c>
      <c r="L30" s="2"/>
      <c r="M30" t="s">
        <v>96</v>
      </c>
      <c r="Q30" s="6"/>
      <c r="R30" s="6"/>
      <c r="S30" s="6"/>
      <c r="T30" s="6"/>
      <c r="U30" s="6"/>
      <c r="V30" s="6"/>
      <c r="W30" s="6"/>
      <c r="Y30" s="19"/>
      <c r="Z30" s="19" t="str">
        <f t="shared" si="0"/>
        <v/>
      </c>
    </row>
    <row r="31" spans="2:26" x14ac:dyDescent="0.2">
      <c r="F31" s="14" t="b">
        <f>GOTO(G25)</f>
        <v>1</v>
      </c>
      <c r="G31" s="14" t="b">
        <f>GOTO(H25)</f>
        <v>1</v>
      </c>
      <c r="H31" s="14" t="b">
        <f>GOTO(I25)</f>
        <v>1</v>
      </c>
      <c r="I31" s="14" t="b">
        <f>GOTO(J25)</f>
        <v>1</v>
      </c>
      <c r="J31" s="14" t="b">
        <f>GOTO(K25)</f>
        <v>1</v>
      </c>
      <c r="K31" s="14" t="b">
        <f>GOTO(L25)</f>
        <v>1</v>
      </c>
      <c r="L31" s="14" t="b">
        <f>GOTO(M25)</f>
        <v>1</v>
      </c>
      <c r="M31" s="14" t="b">
        <f>GOTO(N25)</f>
        <v>1</v>
      </c>
      <c r="N31" s="5" t="b">
        <f>GOTO(Main.DlgRows)</f>
        <v>1</v>
      </c>
      <c r="Q31" s="6"/>
      <c r="R31" s="6"/>
      <c r="S31" s="6"/>
      <c r="T31" s="6"/>
      <c r="U31" s="6"/>
      <c r="V31" s="6"/>
      <c r="W31" s="6"/>
      <c r="Y31" s="19"/>
      <c r="Z31" s="19" t="str">
        <f t="shared" si="0"/>
        <v/>
      </c>
    </row>
    <row r="32" spans="2:26" x14ac:dyDescent="0.2">
      <c r="B32" s="17">
        <v>1</v>
      </c>
      <c r="C32" t="s">
        <v>19</v>
      </c>
      <c r="D32" s="7">
        <v>4</v>
      </c>
      <c r="Q32" s="6"/>
      <c r="R32" s="6"/>
      <c r="S32" s="6"/>
      <c r="T32" s="6"/>
      <c r="U32" s="6"/>
      <c r="V32" s="6"/>
      <c r="W32" s="6"/>
      <c r="Y32" s="19"/>
      <c r="Z32" s="19" t="str">
        <f t="shared" si="0"/>
        <v/>
      </c>
    </row>
    <row r="33" spans="2:26" x14ac:dyDescent="0.2">
      <c r="Q33" s="6"/>
      <c r="R33" s="6"/>
      <c r="S33" s="6"/>
      <c r="T33" s="6"/>
      <c r="U33" s="6"/>
      <c r="V33" s="6"/>
      <c r="W33" s="6"/>
      <c r="Y33" s="19"/>
      <c r="Z33" s="19" t="str">
        <f t="shared" si="0"/>
        <v/>
      </c>
    </row>
    <row r="34" spans="2:26" x14ac:dyDescent="0.2">
      <c r="F34" s="2">
        <f>COUNT(H34:H42)</f>
        <v>6</v>
      </c>
      <c r="G34" s="1" t="s">
        <v>33</v>
      </c>
      <c r="H34" s="1" t="s">
        <v>0</v>
      </c>
      <c r="I34" s="1" t="s">
        <v>27</v>
      </c>
      <c r="J34" s="1" t="s">
        <v>28</v>
      </c>
      <c r="K34" s="1" t="s">
        <v>29</v>
      </c>
      <c r="L34" s="1" t="s">
        <v>30</v>
      </c>
      <c r="M34" s="1" t="s">
        <v>31</v>
      </c>
      <c r="N34" s="1" t="s">
        <v>32</v>
      </c>
      <c r="Q34" s="6"/>
      <c r="R34" s="6"/>
      <c r="S34" s="6"/>
      <c r="T34" s="6"/>
      <c r="U34" s="6"/>
      <c r="V34" s="6"/>
      <c r="W34" s="6"/>
      <c r="Y34" s="19"/>
      <c r="Z34" s="19" t="str">
        <f t="shared" si="0"/>
        <v/>
      </c>
    </row>
    <row r="35" spans="2:26" x14ac:dyDescent="0.2">
      <c r="B35" s="16"/>
      <c r="C35" s="15" t="s">
        <v>34</v>
      </c>
      <c r="D35" s="15" t="s">
        <v>53</v>
      </c>
      <c r="F35" s="3" t="s">
        <v>34</v>
      </c>
      <c r="G35" s="2">
        <v>0</v>
      </c>
      <c r="H35" s="2"/>
      <c r="I35" s="2"/>
      <c r="J35" s="2"/>
      <c r="K35" s="2">
        <v>313</v>
      </c>
      <c r="L35" s="2">
        <v>200</v>
      </c>
      <c r="M35" t="s">
        <v>102</v>
      </c>
      <c r="Q35" s="6"/>
      <c r="R35" s="6"/>
      <c r="S35" s="6"/>
      <c r="T35" s="6"/>
      <c r="U35" s="6"/>
      <c r="V35" s="6"/>
      <c r="W35" s="6"/>
      <c r="Y35" s="19"/>
      <c r="Z35" s="19" t="str">
        <f t="shared" si="0"/>
        <v/>
      </c>
    </row>
    <row r="36" spans="2:26" x14ac:dyDescent="0.2">
      <c r="B36" s="2">
        <f>B35+1</f>
        <v>1</v>
      </c>
      <c r="C36" t="s">
        <v>19</v>
      </c>
      <c r="D36" s="2" t="str">
        <f>REFTEXT(F2,TRUE)</f>
        <v>$F$2</v>
      </c>
      <c r="F36" s="3" t="str">
        <f>_xlfn.XLOOKUP(MOD(H36,100),$B$3:$B$26,$C$3:$C$26)</f>
        <v>Group box</v>
      </c>
      <c r="G36" s="2">
        <f>G35+1</f>
        <v>1</v>
      </c>
      <c r="H36" s="2">
        <v>14</v>
      </c>
      <c r="I36" s="2">
        <v>13</v>
      </c>
      <c r="J36" s="2">
        <v>13</v>
      </c>
      <c r="K36" s="2">
        <v>287</v>
      </c>
      <c r="L36" s="2">
        <v>130</v>
      </c>
      <c r="M36" t="s">
        <v>110</v>
      </c>
      <c r="Q36" s="6"/>
      <c r="R36" s="6"/>
      <c r="S36" s="6"/>
      <c r="T36" s="6"/>
      <c r="U36" s="6"/>
      <c r="V36" s="6"/>
      <c r="W36" s="6"/>
      <c r="Y36" s="19"/>
      <c r="Z36" s="19" t="str">
        <f t="shared" si="0"/>
        <v/>
      </c>
    </row>
    <row r="37" spans="2:26" x14ac:dyDescent="0.2">
      <c r="B37" s="2">
        <f>B36+1</f>
        <v>2</v>
      </c>
      <c r="C37" t="s">
        <v>101</v>
      </c>
      <c r="D37" s="2" t="str">
        <f>REFTEXT(F11,TRUE)</f>
        <v>$F$11</v>
      </c>
      <c r="F37" s="3" t="str">
        <f>_xlfn.XLOOKUP(MOD(H37,100),$B$3:$B$26,$C$3:$C$26)</f>
        <v>Static text</v>
      </c>
      <c r="G37" s="2">
        <f>G36+1</f>
        <v>2</v>
      </c>
      <c r="H37" s="2">
        <v>5</v>
      </c>
      <c r="I37" s="2">
        <v>31</v>
      </c>
      <c r="J37" s="2">
        <v>39</v>
      </c>
      <c r="K37" s="2"/>
      <c r="L37" s="2"/>
      <c r="M37" t="s">
        <v>100</v>
      </c>
      <c r="Q37" s="6"/>
      <c r="R37" s="6"/>
      <c r="S37" s="6"/>
      <c r="T37" s="6"/>
      <c r="U37" s="6"/>
      <c r="V37" s="6"/>
      <c r="W37" s="6"/>
      <c r="Y37" s="19"/>
      <c r="Z37" s="19" t="str">
        <f t="shared" si="0"/>
        <v/>
      </c>
    </row>
    <row r="38" spans="2:26" x14ac:dyDescent="0.2">
      <c r="B38" s="2">
        <f>B37+1</f>
        <v>3</v>
      </c>
      <c r="C38" t="s">
        <v>99</v>
      </c>
      <c r="D38" s="2" t="str">
        <f>REFTEXT(F25,TRUE)</f>
        <v>$F$25</v>
      </c>
      <c r="F38" s="3" t="str">
        <f>_xlfn.XLOOKUP(MOD(H38,100),$B$3:$B$26,$C$3:$C$26)</f>
        <v>Text edit box</v>
      </c>
      <c r="G38" s="2">
        <f>G37+1</f>
        <v>3</v>
      </c>
      <c r="H38" s="2">
        <v>206</v>
      </c>
      <c r="I38" s="2">
        <v>31</v>
      </c>
      <c r="J38" s="2">
        <v>58</v>
      </c>
      <c r="K38" s="2">
        <v>250</v>
      </c>
      <c r="L38" s="2"/>
      <c r="Q38" s="6"/>
      <c r="R38" s="6"/>
      <c r="S38" s="6"/>
      <c r="T38" s="6"/>
      <c r="U38" s="6"/>
      <c r="V38" s="6"/>
      <c r="W38" s="6"/>
      <c r="Y38" s="19"/>
      <c r="Z38" s="19" t="str">
        <f t="shared" si="0"/>
        <v/>
      </c>
    </row>
    <row r="39" spans="2:26" x14ac:dyDescent="0.2">
      <c r="B39" s="2">
        <f>B38+1</f>
        <v>4</v>
      </c>
      <c r="C39" t="s">
        <v>98</v>
      </c>
      <c r="D39" s="2" t="str">
        <f>REFTEXT(F34,TRUE)</f>
        <v>$F$34</v>
      </c>
      <c r="F39" s="3" t="str">
        <f>_xlfn.XLOOKUP(MOD(H39,100),$B$3:$B$26,$C$3:$C$26)</f>
        <v>Static text</v>
      </c>
      <c r="G39" s="2">
        <f>G38+1</f>
        <v>4</v>
      </c>
      <c r="H39" s="2">
        <v>5</v>
      </c>
      <c r="I39" s="2">
        <v>31</v>
      </c>
      <c r="J39" s="2">
        <v>91</v>
      </c>
      <c r="K39" s="2"/>
      <c r="L39" s="2"/>
      <c r="M39" t="s">
        <v>97</v>
      </c>
      <c r="Q39" s="6"/>
      <c r="R39" s="6"/>
      <c r="S39" s="6"/>
      <c r="T39" s="6"/>
      <c r="U39" s="6"/>
      <c r="V39" s="6"/>
      <c r="W39" s="6"/>
      <c r="Y39" s="19"/>
      <c r="Z39" s="19" t="str">
        <f t="shared" si="0"/>
        <v/>
      </c>
    </row>
    <row r="40" spans="2:26" x14ac:dyDescent="0.2">
      <c r="B40" s="2">
        <f>B39+1</f>
        <v>5</v>
      </c>
      <c r="C40" t="s">
        <v>125</v>
      </c>
      <c r="D40" s="2" t="str">
        <f>REFTEXT(F45,TRUE)</f>
        <v>$F$45</v>
      </c>
      <c r="F40" s="3" t="str">
        <f>_xlfn.XLOOKUP(MOD(H40,100),$B$3:$B$26,$C$3:$C$26)</f>
        <v>Text edit box</v>
      </c>
      <c r="G40" s="2">
        <f>G37+1</f>
        <v>3</v>
      </c>
      <c r="H40" s="2">
        <v>206</v>
      </c>
      <c r="I40" s="2">
        <v>31</v>
      </c>
      <c r="J40" s="2">
        <v>110</v>
      </c>
      <c r="K40" s="2">
        <v>250</v>
      </c>
      <c r="L40" s="2"/>
      <c r="Q40" s="6"/>
      <c r="R40" s="6"/>
      <c r="S40" s="6"/>
      <c r="T40" s="6"/>
      <c r="U40" s="6"/>
      <c r="V40" s="6"/>
      <c r="W40" s="6"/>
      <c r="Y40" s="19"/>
      <c r="Z40" s="19" t="str">
        <f t="shared" si="0"/>
        <v/>
      </c>
    </row>
    <row r="41" spans="2:26" x14ac:dyDescent="0.2">
      <c r="B41" s="2">
        <f>B40+1</f>
        <v>6</v>
      </c>
      <c r="C41" t="s">
        <v>15</v>
      </c>
      <c r="D41" s="2" t="e">
        <f>REFTEXT(#REF!,TRUE)</f>
        <v>#REF!</v>
      </c>
      <c r="F41" s="3" t="str">
        <f>_xlfn.XLOOKUP(MOD(H41,100),$B$3:$B$26,$C$3:$C$26)</f>
        <v>Default OK button</v>
      </c>
      <c r="G41" s="2">
        <f>G40+1</f>
        <v>4</v>
      </c>
      <c r="H41" s="2">
        <v>1</v>
      </c>
      <c r="I41" s="2">
        <v>31</v>
      </c>
      <c r="J41" s="2">
        <v>160</v>
      </c>
      <c r="K41" s="2">
        <v>100</v>
      </c>
      <c r="L41" s="2"/>
      <c r="M41" t="s">
        <v>96</v>
      </c>
      <c r="Q41" s="6"/>
      <c r="R41" s="6"/>
      <c r="S41" s="6"/>
      <c r="T41" s="6"/>
      <c r="U41" s="6"/>
      <c r="V41" s="6"/>
      <c r="W41" s="6"/>
      <c r="Y41" s="19"/>
      <c r="Z41" s="19" t="str">
        <f t="shared" si="0"/>
        <v/>
      </c>
    </row>
    <row r="42" spans="2:26" x14ac:dyDescent="0.2">
      <c r="B42" s="2">
        <f>B41+1</f>
        <v>7</v>
      </c>
      <c r="C42" t="s">
        <v>76</v>
      </c>
      <c r="D42" s="2" t="e">
        <f>REFTEXT(#REF!,TRUE)</f>
        <v>#REF!</v>
      </c>
      <c r="F42" s="14" t="b">
        <f>GOTO(G34)</f>
        <v>1</v>
      </c>
      <c r="G42" s="14" t="b">
        <f>GOTO(H34)</f>
        <v>1</v>
      </c>
      <c r="H42" s="14" t="b">
        <f>GOTO(I34)</f>
        <v>1</v>
      </c>
      <c r="I42" s="14" t="b">
        <f>GOTO(J34)</f>
        <v>1</v>
      </c>
      <c r="J42" s="14" t="b">
        <f>GOTO(K34)</f>
        <v>1</v>
      </c>
      <c r="K42" s="14" t="b">
        <f>GOTO(L34)</f>
        <v>1</v>
      </c>
      <c r="L42" s="14" t="b">
        <f>GOTO(M34)</f>
        <v>1</v>
      </c>
      <c r="M42" s="14" t="b">
        <f>GOTO(N34)</f>
        <v>1</v>
      </c>
      <c r="N42" s="5" t="b">
        <f>GOTO(Main.DlgRows)</f>
        <v>1</v>
      </c>
      <c r="Q42" s="6"/>
      <c r="R42" s="6"/>
      <c r="S42" s="6"/>
      <c r="T42" s="6"/>
      <c r="U42" s="6"/>
      <c r="V42" s="6"/>
      <c r="W42" s="6"/>
      <c r="Y42" s="19"/>
      <c r="Z42" s="19" t="str">
        <f t="shared" si="0"/>
        <v/>
      </c>
    </row>
    <row r="43" spans="2:26" x14ac:dyDescent="0.2">
      <c r="B43" s="5" t="b">
        <f>GOTO(C35)</f>
        <v>1</v>
      </c>
      <c r="C43" s="5" t="b">
        <f>GOTO(D35)</f>
        <v>1</v>
      </c>
      <c r="D43" s="5" t="b">
        <f>GOTO(Main.DlgRef)</f>
        <v>1</v>
      </c>
      <c r="Q43" s="6"/>
      <c r="R43" s="6"/>
      <c r="S43" s="6"/>
      <c r="T43" s="6"/>
      <c r="U43" s="6"/>
      <c r="V43" s="6"/>
      <c r="W43" s="6"/>
      <c r="Y43" s="19"/>
      <c r="Z43" s="19" t="str">
        <f t="shared" si="0"/>
        <v/>
      </c>
    </row>
    <row r="44" spans="2:26" x14ac:dyDescent="0.2">
      <c r="Q44" s="6"/>
      <c r="R44" s="6"/>
      <c r="S44" s="6"/>
      <c r="T44" s="6"/>
      <c r="U44" s="6"/>
      <c r="V44" s="6"/>
      <c r="W44" s="6"/>
      <c r="Y44" s="19"/>
      <c r="Z44" s="19" t="str">
        <f t="shared" si="0"/>
        <v/>
      </c>
    </row>
    <row r="45" spans="2:26" x14ac:dyDescent="0.2">
      <c r="F45" s="2">
        <f>COUNT(H45:H58)</f>
        <v>11</v>
      </c>
      <c r="G45" s="1" t="s">
        <v>33</v>
      </c>
      <c r="H45" s="1" t="s">
        <v>0</v>
      </c>
      <c r="I45" s="1" t="s">
        <v>27</v>
      </c>
      <c r="J45" s="1" t="s">
        <v>28</v>
      </c>
      <c r="K45" s="1" t="s">
        <v>29</v>
      </c>
      <c r="L45" s="1" t="s">
        <v>30</v>
      </c>
      <c r="M45" s="1" t="s">
        <v>31</v>
      </c>
      <c r="N45" s="1" t="s">
        <v>32</v>
      </c>
      <c r="Q45" s="6"/>
      <c r="R45" s="6"/>
      <c r="S45" s="6"/>
      <c r="T45" s="6"/>
      <c r="U45" s="6"/>
      <c r="V45" s="6"/>
      <c r="W45" s="6"/>
      <c r="Y45" s="19"/>
      <c r="Z45" s="19" t="str">
        <f t="shared" si="0"/>
        <v/>
      </c>
    </row>
    <row r="46" spans="2:26" x14ac:dyDescent="0.2">
      <c r="F46" s="3" t="s">
        <v>34</v>
      </c>
      <c r="G46" s="2">
        <v>0</v>
      </c>
      <c r="H46" s="2"/>
      <c r="I46" s="2"/>
      <c r="J46" s="2"/>
      <c r="K46" s="2">
        <v>518</v>
      </c>
      <c r="L46" s="2">
        <v>145</v>
      </c>
      <c r="M46" t="s">
        <v>111</v>
      </c>
      <c r="Q46" s="6"/>
      <c r="R46" s="6"/>
      <c r="S46" s="6"/>
      <c r="T46" s="6"/>
      <c r="U46" s="6"/>
      <c r="V46" s="6"/>
      <c r="W46" s="6"/>
      <c r="Y46" s="19"/>
      <c r="Z46" s="19" t="str">
        <f t="shared" si="0"/>
        <v/>
      </c>
    </row>
    <row r="47" spans="2:26" x14ac:dyDescent="0.2">
      <c r="F47" s="3" t="str">
        <f>_xlfn.XLOOKUP(MOD(H47,100),$B$3:$B$26,$C$3:$C$26)</f>
        <v>Default OK button</v>
      </c>
      <c r="G47" s="2">
        <f>G46+1</f>
        <v>1</v>
      </c>
      <c r="H47" s="2">
        <v>1</v>
      </c>
      <c r="I47" s="2">
        <v>415</v>
      </c>
      <c r="J47" s="2">
        <v>6</v>
      </c>
      <c r="K47" s="2">
        <v>88</v>
      </c>
      <c r="L47" s="2"/>
      <c r="M47" t="s">
        <v>36</v>
      </c>
      <c r="Q47" s="6"/>
      <c r="R47" s="6"/>
      <c r="S47" s="6"/>
      <c r="T47" s="6"/>
      <c r="U47" s="6"/>
      <c r="V47" s="6"/>
      <c r="W47" s="6"/>
      <c r="Y47" s="19"/>
      <c r="Z47" s="19" t="str">
        <f t="shared" si="0"/>
        <v/>
      </c>
    </row>
    <row r="48" spans="2:26" x14ac:dyDescent="0.2">
      <c r="F48" s="3" t="str">
        <f>_xlfn.XLOOKUP(MOD(H48,100),$B$3:$B$26,$C$3:$C$26)</f>
        <v>Cancel button</v>
      </c>
      <c r="G48" s="2">
        <f>G47+1</f>
        <v>2</v>
      </c>
      <c r="H48" s="2">
        <v>2</v>
      </c>
      <c r="I48" s="2">
        <v>415</v>
      </c>
      <c r="J48" s="2">
        <v>30</v>
      </c>
      <c r="K48" s="2">
        <v>88</v>
      </c>
      <c r="L48" s="2"/>
      <c r="M48" t="s">
        <v>37</v>
      </c>
      <c r="Q48" s="6"/>
      <c r="R48" s="6"/>
      <c r="S48" s="6"/>
      <c r="T48" s="6"/>
      <c r="U48" s="6"/>
      <c r="V48" s="6"/>
      <c r="W48" s="6"/>
      <c r="Y48" s="19"/>
      <c r="Z48" s="19" t="str">
        <f t="shared" si="0"/>
        <v/>
      </c>
    </row>
    <row r="49" spans="6:26" x14ac:dyDescent="0.2">
      <c r="F49" s="3" t="str">
        <f>_xlfn.XLOOKUP(MOD(H49,100),$B$3:$B$26,$C$3:$C$26)</f>
        <v>Text edit box</v>
      </c>
      <c r="G49" s="2">
        <f>G48+1</f>
        <v>3</v>
      </c>
      <c r="H49" s="2">
        <v>6</v>
      </c>
      <c r="I49" s="2">
        <v>97</v>
      </c>
      <c r="J49" s="2">
        <v>19</v>
      </c>
      <c r="K49" s="2">
        <v>299</v>
      </c>
      <c r="L49" s="2">
        <v>18</v>
      </c>
      <c r="N49" t="s">
        <v>112</v>
      </c>
      <c r="Q49" s="6"/>
      <c r="R49" s="6"/>
      <c r="S49" s="6"/>
      <c r="T49" s="6"/>
      <c r="U49" s="6"/>
      <c r="V49" s="6"/>
      <c r="W49" s="6"/>
      <c r="Y49" s="19"/>
      <c r="Z49" s="19" t="str">
        <f t="shared" si="0"/>
        <v/>
      </c>
    </row>
    <row r="50" spans="6:26" x14ac:dyDescent="0.2">
      <c r="F50" s="3" t="str">
        <f>_xlfn.XLOOKUP(MOD(H50,100),$B$3:$B$26,$C$3:$C$26)</f>
        <v>Drop-down combination edit/list box</v>
      </c>
      <c r="G50" s="2">
        <f>G49+1</f>
        <v>4</v>
      </c>
      <c r="H50" s="2">
        <v>22</v>
      </c>
      <c r="I50" s="2">
        <v>97</v>
      </c>
      <c r="J50" s="2">
        <v>37</v>
      </c>
      <c r="K50" s="2">
        <v>299</v>
      </c>
      <c r="L50" s="2">
        <v>70</v>
      </c>
      <c r="M50" t="str">
        <f>REFTEXT(O50:O55)</f>
        <v>R50C15:R55C15</v>
      </c>
      <c r="N50">
        <v>1</v>
      </c>
      <c r="O50" t="s">
        <v>112</v>
      </c>
      <c r="Q50" s="6"/>
      <c r="R50" s="6"/>
      <c r="S50" s="6"/>
      <c r="T50" s="6"/>
      <c r="U50" s="6"/>
      <c r="V50" s="6"/>
      <c r="W50" s="6"/>
      <c r="Y50" s="19"/>
      <c r="Z50" s="19" t="str">
        <f t="shared" si="0"/>
        <v/>
      </c>
    </row>
    <row r="51" spans="6:26" x14ac:dyDescent="0.2">
      <c r="F51" s="3" t="str">
        <f>_xlfn.XLOOKUP(MOD(H51,100),$B$3:$B$26,$C$3:$C$26)</f>
        <v>Text edit box</v>
      </c>
      <c r="G51" s="2">
        <f>G48+1</f>
        <v>3</v>
      </c>
      <c r="H51" s="2">
        <v>206</v>
      </c>
      <c r="I51" s="2">
        <v>97</v>
      </c>
      <c r="J51" s="2">
        <v>55</v>
      </c>
      <c r="K51" s="2">
        <v>269</v>
      </c>
      <c r="L51" s="2"/>
      <c r="N51" t="s">
        <v>113</v>
      </c>
      <c r="O51" t="s">
        <v>120</v>
      </c>
      <c r="Q51" s="6"/>
      <c r="R51" s="6"/>
      <c r="S51" s="6"/>
      <c r="T51" s="6"/>
      <c r="U51" s="6"/>
      <c r="V51" s="6"/>
      <c r="W51" s="6"/>
      <c r="Y51" s="19"/>
      <c r="Z51" s="19" t="str">
        <f t="shared" si="0"/>
        <v/>
      </c>
    </row>
    <row r="52" spans="6:26" x14ac:dyDescent="0.2">
      <c r="F52" s="3" t="str">
        <f>_xlfn.XLOOKUP(MOD(H52,100),$B$3:$B$26,$C$3:$C$26)</f>
        <v>Static text</v>
      </c>
      <c r="G52" s="2">
        <f>G51+1</f>
        <v>4</v>
      </c>
      <c r="H52" s="2">
        <v>5</v>
      </c>
      <c r="I52" s="2">
        <v>97</v>
      </c>
      <c r="J52" s="2">
        <v>6</v>
      </c>
      <c r="K52" s="2"/>
      <c r="L52" s="2"/>
      <c r="M52" t="s">
        <v>114</v>
      </c>
      <c r="O52" t="s">
        <v>121</v>
      </c>
      <c r="Q52" s="6"/>
      <c r="R52" s="6"/>
      <c r="S52" s="6"/>
      <c r="T52" s="6"/>
      <c r="U52" s="6"/>
      <c r="V52" s="6"/>
      <c r="W52" s="6"/>
      <c r="Y52" s="19"/>
      <c r="Z52" s="19" t="str">
        <f t="shared" si="0"/>
        <v/>
      </c>
    </row>
    <row r="53" spans="6:26" x14ac:dyDescent="0.2">
      <c r="F53" s="3" t="str">
        <f t="shared" ref="F53:F57" si="1">_xlfn.XLOOKUP(MOD(H53,100),$B$3:$B$26,$C$3:$C$26)</f>
        <v>Static text</v>
      </c>
      <c r="G53" s="2">
        <f t="shared" ref="G53:G57" si="2">G52+1</f>
        <v>5</v>
      </c>
      <c r="H53" s="2">
        <v>5</v>
      </c>
      <c r="I53" s="2">
        <v>97</v>
      </c>
      <c r="J53" s="2">
        <v>42</v>
      </c>
      <c r="K53" s="2"/>
      <c r="L53" s="2"/>
      <c r="M53" t="s">
        <v>115</v>
      </c>
      <c r="N53" t="b">
        <v>1</v>
      </c>
      <c r="O53" t="s">
        <v>122</v>
      </c>
      <c r="Q53" s="6"/>
      <c r="R53" s="6"/>
      <c r="S53" s="6"/>
      <c r="T53" s="6"/>
      <c r="U53" s="6"/>
      <c r="V53" s="6"/>
      <c r="W53" s="6"/>
      <c r="Y53" s="19"/>
      <c r="Z53" s="19" t="str">
        <f t="shared" si="0"/>
        <v/>
      </c>
    </row>
    <row r="54" spans="6:26" x14ac:dyDescent="0.2">
      <c r="F54" s="3" t="str">
        <f t="shared" si="1"/>
        <v>Check box</v>
      </c>
      <c r="G54" s="2">
        <f t="shared" si="2"/>
        <v>6</v>
      </c>
      <c r="H54" s="2">
        <v>13</v>
      </c>
      <c r="I54" s="2">
        <v>97</v>
      </c>
      <c r="J54" s="2">
        <v>82</v>
      </c>
      <c r="K54" s="2"/>
      <c r="L54" s="2"/>
      <c r="M54" t="s">
        <v>116</v>
      </c>
      <c r="N54" t="b">
        <v>0</v>
      </c>
      <c r="O54" t="s">
        <v>123</v>
      </c>
      <c r="Q54" s="6"/>
      <c r="R54" s="6"/>
      <c r="S54" s="6"/>
      <c r="T54" s="6"/>
      <c r="U54" s="6"/>
      <c r="V54" s="6"/>
      <c r="W54" s="6"/>
      <c r="Y54" s="19"/>
      <c r="Z54" s="19" t="str">
        <f t="shared" si="0"/>
        <v/>
      </c>
    </row>
    <row r="55" spans="6:26" x14ac:dyDescent="0.2">
      <c r="F55" s="3" t="str">
        <f t="shared" si="1"/>
        <v>Static text</v>
      </c>
      <c r="G55" s="2">
        <f t="shared" si="2"/>
        <v>7</v>
      </c>
      <c r="H55" s="2">
        <v>5</v>
      </c>
      <c r="I55" s="2">
        <v>11</v>
      </c>
      <c r="J55" s="2">
        <v>104</v>
      </c>
      <c r="K55" s="2"/>
      <c r="L55" s="2"/>
      <c r="M55" t="s">
        <v>117</v>
      </c>
      <c r="O55" t="s">
        <v>124</v>
      </c>
      <c r="Q55" s="6"/>
      <c r="R55" s="6"/>
      <c r="S55" s="6"/>
      <c r="T55" s="6"/>
      <c r="U55" s="6"/>
      <c r="V55" s="6"/>
      <c r="W55" s="6"/>
      <c r="Y55" s="19"/>
      <c r="Z55" s="19" t="str">
        <f t="shared" si="0"/>
        <v/>
      </c>
    </row>
    <row r="56" spans="6:26" x14ac:dyDescent="0.2">
      <c r="F56" s="3" t="str">
        <f t="shared" si="1"/>
        <v>Static text</v>
      </c>
      <c r="G56" s="2">
        <f t="shared" si="2"/>
        <v>8</v>
      </c>
      <c r="H56" s="2">
        <v>5</v>
      </c>
      <c r="I56" s="2">
        <v>11</v>
      </c>
      <c r="J56" s="2">
        <v>116</v>
      </c>
      <c r="K56" s="2"/>
      <c r="L56" s="2"/>
      <c r="M56" t="s">
        <v>118</v>
      </c>
      <c r="Q56" s="6"/>
      <c r="R56" s="6"/>
      <c r="S56" s="6"/>
      <c r="T56" s="6"/>
      <c r="U56" s="6"/>
      <c r="V56" s="6"/>
      <c r="W56" s="6"/>
      <c r="Y56" s="19"/>
      <c r="Z56" s="19" t="str">
        <f t="shared" si="0"/>
        <v/>
      </c>
    </row>
    <row r="57" spans="6:26" x14ac:dyDescent="0.2">
      <c r="F57" s="3" t="str">
        <f t="shared" si="1"/>
        <v>Static text</v>
      </c>
      <c r="G57" s="2">
        <f t="shared" si="2"/>
        <v>9</v>
      </c>
      <c r="H57" s="2">
        <v>5</v>
      </c>
      <c r="I57" s="2">
        <v>11</v>
      </c>
      <c r="J57" s="2">
        <v>128</v>
      </c>
      <c r="K57" s="2"/>
      <c r="L57" s="2"/>
      <c r="M57" t="s">
        <v>119</v>
      </c>
      <c r="Q57" s="6"/>
      <c r="R57" s="6"/>
      <c r="S57" s="6"/>
      <c r="T57" s="6"/>
      <c r="U57" s="6"/>
      <c r="V57" s="6"/>
      <c r="W57" s="6"/>
      <c r="Y57" s="19"/>
      <c r="Z57" s="19" t="str">
        <f t="shared" si="0"/>
        <v/>
      </c>
    </row>
    <row r="58" spans="6:26" x14ac:dyDescent="0.2">
      <c r="F58" s="14" t="b">
        <f>GOTO(G45)</f>
        <v>1</v>
      </c>
      <c r="G58" s="14" t="b">
        <f>GOTO(H45)</f>
        <v>1</v>
      </c>
      <c r="H58" s="14" t="b">
        <f>GOTO(I45)</f>
        <v>1</v>
      </c>
      <c r="I58" s="14" t="b">
        <f>GOTO(J45)</f>
        <v>1</v>
      </c>
      <c r="J58" s="14" t="b">
        <f>GOTO(K45)</f>
        <v>1</v>
      </c>
      <c r="K58" s="14" t="b">
        <f>GOTO(L45)</f>
        <v>1</v>
      </c>
      <c r="L58" s="14" t="b">
        <f>GOTO(M45)</f>
        <v>1</v>
      </c>
      <c r="M58" s="14" t="b">
        <f>GOTO(N45)</f>
        <v>1</v>
      </c>
      <c r="N58" s="5" t="b">
        <f>GOTO(Main.DlgRows)</f>
        <v>1</v>
      </c>
      <c r="Q58" s="6"/>
      <c r="R58" s="6"/>
      <c r="S58" s="6"/>
      <c r="T58" s="6"/>
      <c r="U58" s="6"/>
      <c r="V58" s="6"/>
      <c r="W58" s="6"/>
      <c r="Y58" s="19"/>
      <c r="Z58" s="19" t="str">
        <f t="shared" si="0"/>
        <v/>
      </c>
    </row>
    <row r="59" spans="6:26" x14ac:dyDescent="0.2">
      <c r="Q59" s="6"/>
      <c r="R59" s="6"/>
      <c r="S59" s="6"/>
      <c r="T59" s="6"/>
      <c r="U59" s="6"/>
      <c r="V59" s="6"/>
      <c r="W59" s="6"/>
      <c r="Y59" s="19"/>
      <c r="Z59" s="19" t="str">
        <f t="shared" si="0"/>
        <v/>
      </c>
    </row>
    <row r="60" spans="6:26" x14ac:dyDescent="0.2">
      <c r="Q60" s="6"/>
      <c r="R60" s="6"/>
      <c r="S60" s="6"/>
      <c r="T60" s="6"/>
      <c r="U60" s="6"/>
      <c r="V60" s="6"/>
      <c r="W60" s="6"/>
      <c r="Y60" s="19"/>
      <c r="Z60" s="19" t="str">
        <f t="shared" si="0"/>
        <v/>
      </c>
    </row>
    <row r="61" spans="6:26" x14ac:dyDescent="0.2">
      <c r="Q61" s="6"/>
      <c r="R61" s="6"/>
      <c r="S61" s="6"/>
      <c r="T61" s="6"/>
      <c r="U61" s="6"/>
      <c r="V61" s="6"/>
      <c r="W61" s="6"/>
      <c r="Y61" s="19"/>
      <c r="Z61" s="19" t="str">
        <f t="shared" si="0"/>
        <v/>
      </c>
    </row>
    <row r="62" spans="6:26" x14ac:dyDescent="0.2">
      <c r="Q62" s="6"/>
      <c r="R62" s="6"/>
      <c r="S62" s="6"/>
      <c r="T62" s="6"/>
      <c r="U62" s="6"/>
      <c r="V62" s="6"/>
      <c r="W62" s="6"/>
      <c r="Y62" s="19"/>
      <c r="Z62" s="19" t="str">
        <f t="shared" si="0"/>
        <v/>
      </c>
    </row>
    <row r="63" spans="6:26" x14ac:dyDescent="0.2">
      <c r="Q63" s="6"/>
      <c r="R63" s="6"/>
      <c r="S63" s="6"/>
      <c r="T63" s="6"/>
      <c r="U63" s="6"/>
      <c r="V63" s="6"/>
      <c r="W63" s="6"/>
      <c r="Y63" s="19"/>
      <c r="Z63" s="19" t="str">
        <f t="shared" si="0"/>
        <v/>
      </c>
    </row>
    <row r="64" spans="6:26" x14ac:dyDescent="0.2">
      <c r="Q64" s="6"/>
      <c r="R64" s="6"/>
      <c r="S64" s="6"/>
      <c r="T64" s="6"/>
      <c r="U64" s="6"/>
      <c r="V64" s="6"/>
      <c r="W64" s="6"/>
      <c r="Y64" s="19"/>
      <c r="Z64" s="19" t="str">
        <f t="shared" si="0"/>
        <v/>
      </c>
    </row>
    <row r="65" spans="17:26" x14ac:dyDescent="0.2">
      <c r="Q65" s="6"/>
      <c r="R65" s="6"/>
      <c r="S65" s="6"/>
      <c r="T65" s="6"/>
      <c r="U65" s="6"/>
      <c r="V65" s="6"/>
      <c r="W65" s="6"/>
      <c r="Y65" s="19"/>
      <c r="Z65" s="19" t="str">
        <f t="shared" si="0"/>
        <v/>
      </c>
    </row>
    <row r="66" spans="17:26" x14ac:dyDescent="0.2">
      <c r="Q66" s="6"/>
      <c r="R66" s="6"/>
      <c r="S66" s="6"/>
      <c r="T66" s="6"/>
      <c r="U66" s="6"/>
      <c r="V66" s="6"/>
      <c r="W66" s="6"/>
      <c r="Y66" s="19"/>
      <c r="Z66" s="19" t="str">
        <f t="shared" ref="Z66:Z69" si="3">CsCode(Y66,Q66:W66)</f>
        <v/>
      </c>
    </row>
    <row r="67" spans="17:26" x14ac:dyDescent="0.2">
      <c r="Q67" s="6"/>
      <c r="R67" s="6"/>
      <c r="S67" s="6"/>
      <c r="T67" s="6"/>
      <c r="U67" s="6"/>
      <c r="V67" s="6"/>
      <c r="W67" s="6"/>
      <c r="Y67" s="19"/>
      <c r="Z67" s="19" t="str">
        <f t="shared" si="3"/>
        <v/>
      </c>
    </row>
    <row r="68" spans="17:26" x14ac:dyDescent="0.2">
      <c r="Q68" s="6"/>
      <c r="R68" s="6"/>
      <c r="S68" s="6"/>
      <c r="T68" s="6"/>
      <c r="U68" s="6"/>
      <c r="V68" s="6"/>
      <c r="W68" s="6"/>
      <c r="Y68" s="19"/>
      <c r="Z68" s="19" t="str">
        <f t="shared" si="3"/>
        <v/>
      </c>
    </row>
    <row r="69" spans="17:26" x14ac:dyDescent="0.2">
      <c r="Q69" s="6"/>
      <c r="R69" s="6"/>
      <c r="S69" s="6"/>
      <c r="T69" s="6"/>
      <c r="U69" s="6"/>
      <c r="V69" s="6"/>
      <c r="W69" s="6"/>
      <c r="Y69" s="19"/>
      <c r="Z69" s="19" t="str">
        <f t="shared" si="3"/>
        <v/>
      </c>
    </row>
    <row r="70" spans="17:26" x14ac:dyDescent="0.2">
      <c r="Q70" s="6"/>
      <c r="R70" s="6"/>
      <c r="S70" s="6"/>
      <c r="T70" s="6"/>
      <c r="U70" s="6"/>
      <c r="V70" s="6"/>
      <c r="W70" s="6"/>
      <c r="Y70" s="14" t="b">
        <f>GOTO(Z1)</f>
        <v>1</v>
      </c>
      <c r="Z70" s="5" t="b">
        <f>GOTO(Main.End)</f>
        <v>1</v>
      </c>
    </row>
    <row r="71" spans="17:26" x14ac:dyDescent="0.2">
      <c r="Q71" s="14" t="b">
        <f>GOTO(R1)</f>
        <v>1</v>
      </c>
      <c r="R71" s="14" t="b">
        <f t="shared" ref="R71:W71" si="4">GOTO(S1)</f>
        <v>1</v>
      </c>
      <c r="S71" s="14" t="b">
        <f t="shared" si="4"/>
        <v>1</v>
      </c>
      <c r="T71" s="14" t="b">
        <f t="shared" si="4"/>
        <v>1</v>
      </c>
      <c r="U71" s="14" t="b">
        <f t="shared" si="4"/>
        <v>1</v>
      </c>
      <c r="V71" s="14" t="b">
        <f t="shared" si="4"/>
        <v>1</v>
      </c>
      <c r="W71" s="14" t="b">
        <f>GOTO(OFFSET(MainDlg,1,0))</f>
        <v>1</v>
      </c>
    </row>
  </sheetData>
  <pageMargins left="0.7" right="0.7" top="0.75" bottom="0.75" header="0.3" footer="0.3"/>
  <pageSetup paperSize="9" orientation="portrait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Excel 4.0 Macros</vt:lpstr>
      </vt:variant>
      <vt:variant>
        <vt:i4>2</vt:i4>
      </vt:variant>
    </vt:vector>
  </HeadingPairs>
  <TitlesOfParts>
    <vt:vector size="2" baseType="lpstr">
      <vt:lpstr>Workbench</vt:lpstr>
      <vt:lpstr>CodeFactory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2024-07-15T15:24:33Z</dcterms:created>
  <dcterms:modified xsi:type="dcterms:W3CDTF">2024-11-28T16:04:50Z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f5fe31f-9de1-4167-a753-111c0df8115f_Enabled">
    <vt:lpwstr>true</vt:lpwstr>
  </property>
  <property fmtid="{D5CDD505-2E9C-101B-9397-08002B2CF9AE}" pid="3" name="MSIP_Label_5f5fe31f-9de1-4167-a753-111c0df8115f_SetDate">
    <vt:lpwstr>2024-08-06T09:05:29Z</vt:lpwstr>
  </property>
  <property fmtid="{D5CDD505-2E9C-101B-9397-08002B2CF9AE}" pid="4" name="MSIP_Label_5f5fe31f-9de1-4167-a753-111c0df8115f_Method">
    <vt:lpwstr>Standard</vt:lpwstr>
  </property>
  <property fmtid="{D5CDD505-2E9C-101B-9397-08002B2CF9AE}" pid="5" name="MSIP_Label_5f5fe31f-9de1-4167-a753-111c0df8115f_Name">
    <vt:lpwstr>5f5fe31f-9de1-4167-a753-111c0df8115f</vt:lpwstr>
  </property>
  <property fmtid="{D5CDD505-2E9C-101B-9397-08002B2CF9AE}" pid="6" name="MSIP_Label_5f5fe31f-9de1-4167-a753-111c0df8115f_SiteId">
    <vt:lpwstr>cc4baf00-15c9-48dd-9f59-88c98bde2be7</vt:lpwstr>
  </property>
  <property fmtid="{D5CDD505-2E9C-101B-9397-08002B2CF9AE}" pid="7" name="MSIP_Label_5f5fe31f-9de1-4167-a753-111c0df8115f_ActionId">
    <vt:lpwstr>7f7da242-e144-4bd5-bb40-798191a48d8e</vt:lpwstr>
  </property>
  <property fmtid="{D5CDD505-2E9C-101B-9397-08002B2CF9AE}" pid="8" name="MSIP_Label_5f5fe31f-9de1-4167-a753-111c0df8115f_ContentBits">
    <vt:lpwstr>0</vt:lpwstr>
  </property>
</Properties>
</file>